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 Model" sheetId="1" state="visible" r:id="rId3"/>
    <sheet name="CTO Packages" sheetId="2" state="visible" r:id="rId4"/>
    <sheet name="Mod Inco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<sst xmlns="http://schemas.openxmlformats.org/spreadsheetml/2006/main" count="176" uniqueCount="143">
  <si>
    <t xml:space="preserve">school.com  |  Full Income Model  |  Community + Fractional CTO</t>
  </si>
  <si>
    <t xml:space="preserve">AI &amp; Automation niche  |  Paid community: $250/mo, max 20 members  |  3 mods, 70/30 split  |  Fractional CTO: 3-5 packages, community is the funnel  |  Ad spend $800/mo</t>
  </si>
  <si>
    <t xml:space="preserve">2026  (Year 1)</t>
  </si>
  <si>
    <t xml:space="preserve">2027  (Year 2)</t>
  </si>
  <si>
    <t xml:space="preserve">Metric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</si>
  <si>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</si>
  <si>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</si>
  <si>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</si>
  <si>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</si>
  <si>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</si>
  <si>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</si>
  <si>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</si>
  <si>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</si>
  <si>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</si>
  <si>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</si>
  <si>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</si>
  <si>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</si>
  <si>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Y1 Total</t>
  </si>
  <si>
    <t xml:space="preserve">Y2 Total</t>
  </si>
  <si>
    <t xml:space="preserve">FREE COMMUNITY  (AI &amp; Automation audience - higher organic growth)</t>
  </si>
  <si>
    <t xml:space="preserve">Free members (end of month)</t>
  </si>
  <si>
    <t xml:space="preserve">  New free members this month</t>
  </si>
  <si>
    <t xml:space="preserve">PAID COMMUNITY  ($250/mo  |  Max 20 members  |  Intentionally small &amp; premium)</t>
  </si>
  <si>
    <t xml:space="preserve">Paid members (end of month, max 20)</t>
  </si>
  <si>
    <t xml:space="preserve">  Retained through Month 2</t>
  </si>
  <si>
    <t xml:space="preserve">  Retained Month 3+ (ongoing base)</t>
  </si>
  <si>
    <t xml:space="preserve">Gross MRR from community</t>
  </si>
  <si>
    <t xml:space="preserve">  Mod pool (30% of MRR)</t>
  </si>
  <si>
    <t xml:space="preserve">  Per mod MRR share (÷3)</t>
  </si>
  <si>
    <t xml:space="preserve">  + Retention bonus per mod ($2/retained member)</t>
  </si>
  <si>
    <t xml:space="preserve">  + Month-3+ retention bonus per mod ($1/mo)</t>
  </si>
  <si>
    <t xml:space="preserve">  + Milestones (M4) + Loyalty (M12) per mod</t>
  </si>
  <si>
    <t xml:space="preserve">TOTAL PER MOD / MONTH  (community income)</t>
  </si>
  <si>
    <t xml:space="preserve">  Annualized per mod (x12)</t>
  </si>
  <si>
    <t xml:space="preserve">FRACTIONAL CTO PIPELINE  (community = lead funnel, you do all work, 0% to mods)</t>
  </si>
  <si>
    <t xml:space="preserve">  Conversion assumption: ~5-10% of paid community members become CTO clients over time. 3-5 active packages is your sweet spot.</t>
  </si>
  <si>
    <t xml:space="preserve">Advisory retainer ($4K/mo, 4 hrs)</t>
  </si>
  <si>
    <t xml:space="preserve">  # of advisory clients</t>
  </si>
  <si>
    <t xml:space="preserve">Embedded retainer ($7K/mo, 10 hrs)</t>
  </si>
  <si>
    <t xml:space="preserve">  # of embedded clients</t>
  </si>
  <si>
    <t xml:space="preserve">Full Fractional ($10K/mo, 20+ hrs)</t>
  </si>
  <si>
    <t xml:space="preserve">  # of full fractional clients</t>
  </si>
  <si>
    <t xml:space="preserve">TOTAL CTO REVENUE / MONTH</t>
  </si>
  <si>
    <t xml:space="preserve">  Total active CTO packages</t>
  </si>
  <si>
    <t xml:space="preserve">TOTAL OWNER INCOME  (after ads + platform fees + all mod payouts)</t>
  </si>
  <si>
    <t xml:space="preserve">Community net to owner (after mods, ads, fees)</t>
  </si>
  <si>
    <t xml:space="preserve">Fractional CTO revenue (100% to owner)</t>
  </si>
  <si>
    <t xml:space="preserve">TOTAL OWNER INCOME / MONTH</t>
  </si>
  <si>
    <t xml:space="preserve">  Annualized owner income (x12)</t>
  </si>
  <si>
    <t xml:space="preserve">KEY MILESTONES</t>
  </si>
  <si>
    <t xml:space="preserve">Paid community full (20 members)</t>
  </si>
  <si>
    <t xml:space="preserve">Month 6 - Jun 2026</t>
  </si>
  <si>
    <t xml:space="preserve">Community self-sustaining (covers mod payouts)</t>
  </si>
  <si>
    <t xml:space="preserve">Month 4 - Apr 2026</t>
  </si>
  <si>
    <t xml:space="preserve">Ed hits $500/mo from community</t>
  </si>
  <si>
    <t xml:space="preserve">Ed hits $1,000/mo from community</t>
  </si>
  <si>
    <t xml:space="preserve">Month 7 - Jul 2026 (at full 20 members)</t>
  </si>
  <si>
    <t xml:space="preserve">First CTO client from community funnel</t>
  </si>
  <si>
    <t xml:space="preserve">Month 3-4 - Mar/Apr 2026</t>
  </si>
  <si>
    <t xml:space="preserve">3 active CTO packages ($21K/mo)</t>
  </si>
  <si>
    <t xml:space="preserve">Month 9 - Sep 2026</t>
  </si>
  <si>
    <t xml:space="preserve">5 active CTO packages ($31K/mo)</t>
  </si>
  <si>
    <t xml:space="preserve">Month 18 - Jun 2027</t>
  </si>
  <si>
    <t xml:space="preserve">Owner total income $20K+/mo</t>
  </si>
  <si>
    <t xml:space="preserve">Owner total income $40K+/mo</t>
  </si>
  <si>
    <t xml:space="preserve">Month 16 - Apr 2027</t>
  </si>
  <si>
    <t xml:space="preserve">Fractional CTO Packages  |  school.com Community Funnel</t>
  </si>
  <si>
    <t xml:space="preserve">Community members experience your expertise firsthand. They become clients. You do all CTO work yourself. Mods receive 0% of this revenue - defined in agreement Section 6.</t>
  </si>
  <si>
    <t xml:space="preserve">Advisory</t>
  </si>
  <si>
    <t xml:space="preserve">Embedded</t>
  </si>
  <si>
    <t xml:space="preserve">Full Fractional</t>
  </si>
  <si>
    <t xml:space="preserve">Max clients</t>
  </si>
  <si>
    <t xml:space="preserve">Your hrs/mo if at max</t>
  </si>
  <si>
    <t xml:space="preserve">Monthly retainer</t>
  </si>
  <si>
    <t xml:space="preserve">$4,000</t>
  </si>
  <si>
    <t xml:space="preserve">$7,000</t>
  </si>
  <si>
    <t xml:space="preserve">$10,000</t>
  </si>
  <si>
    <t xml:space="preserve">2</t>
  </si>
  <si>
    <t xml:space="preserve">8 hrs</t>
  </si>
  <si>
    <t xml:space="preserve">Hours per client</t>
  </si>
  <si>
    <t xml:space="preserve">4 hrs</t>
  </si>
  <si>
    <t xml:space="preserve">10 hrs</t>
  </si>
  <si>
    <t xml:space="preserve">20+ hrs</t>
  </si>
  <si>
    <t xml:space="preserve">Deliverables</t>
  </si>
  <si>
    <t xml:space="preserve">Async + 1 call/mo</t>
  </si>
  <si>
    <t xml:space="preserve">Weekly call + code reviews + hiring</t>
  </si>
  <si>
    <t xml:space="preserve">Active leadership + roadmap + team mgmt</t>
  </si>
  <si>
    <t xml:space="preserve">Ideal client</t>
  </si>
  <si>
    <t xml:space="preserve">Seed stage, needs direction</t>
  </si>
  <si>
    <t xml:space="preserve">Series A, scaling team</t>
  </si>
  <si>
    <t xml:space="preserve">Series A/B, needs embedded leader</t>
  </si>
  <si>
    <t xml:space="preserve">Year 1 target clients</t>
  </si>
  <si>
    <t xml:space="preserve">1</t>
  </si>
  <si>
    <t xml:space="preserve">4</t>
  </si>
  <si>
    <t xml:space="preserve">34 hrs</t>
  </si>
  <si>
    <t xml:space="preserve">Year 2 target clients</t>
  </si>
  <si>
    <t xml:space="preserve">6</t>
  </si>
  <si>
    <t xml:space="preserve">48 hrs</t>
  </si>
  <si>
    <t xml:space="preserve">Monthly revenue at target</t>
  </si>
  <si>
    <t xml:space="preserve">$8,000</t>
  </si>
  <si>
    <t xml:space="preserve">$14,000</t>
  </si>
  <si>
    <t xml:space="preserve">$20,000</t>
  </si>
  <si>
    <t xml:space="preserve">Annual revenue at target</t>
  </si>
  <si>
    <t xml:space="preserve">$96,000</t>
  </si>
  <si>
    <t xml:space="preserve">$168,000</t>
  </si>
  <si>
    <t xml:space="preserve">$240,000</t>
  </si>
  <si>
    <t xml:space="preserve">THE MATH AT 3-5 PACKAGES (YOUR STATED GOAL):</t>
  </si>
  <si>
    <t xml:space="preserve">3 packages (e.g. 2 Advisory + 1 Embedded)</t>
  </si>
  <si>
    <t xml:space="preserve">$4K+$4K+$7K</t>
  </si>
  <si>
    <t xml:space="preserve">$15,000/mo</t>
  </si>
  <si>
    <t xml:space="preserve">$180,000/yr</t>
  </si>
  <si>
    <t xml:space="preserve">4 packages (2 Advisory + 1 Embedded + 1 Full)</t>
  </si>
  <si>
    <t xml:space="preserve">$4K+$4K+$7K+$10K</t>
  </si>
  <si>
    <t xml:space="preserve">$25,000/mo</t>
  </si>
  <si>
    <t xml:space="preserve">$300,000/yr</t>
  </si>
  <si>
    <t xml:space="preserve">5 packages (2+2+1)</t>
  </si>
  <si>
    <t xml:space="preserve">$4K+$4K+$7K+$7K+$10K</t>
  </si>
  <si>
    <t xml:space="preserve">$32,000/mo</t>
  </si>
  <si>
    <t xml:space="preserve">$384,000/yr</t>
  </si>
  <si>
    <t xml:space="preserve">+ Community net (20 members x $250)</t>
  </si>
  <si>
    <t xml:space="preserve">After mods/ads</t>
  </si>
  <si>
    <t xml:space="preserve">~$2,600/mo</t>
  </si>
  <si>
    <t xml:space="preserve">~$31,000/yr</t>
  </si>
  <si>
    <t xml:space="preserve">KEY INSIGHT: The community is not your primary income - it's your $250/mo proof-of-expertise engine. Every member watches you think. The best ones will hire you. At 3 CTO packages, you make more in a month than the community makes all year. The community cost you $800/mo in ads. The CTO packages cost you zero in acquisition because your members already trust you.</t>
  </si>
  <si>
    <t xml:space="preserve">Moderator Income Detail  |  3 Mods  |  Community Only (CTO excluded)</t>
  </si>
  <si>
    <t xml:space="preserve">Paid community: $250/mo | 20 member cap | 30% mod pool split 3 ways | Retention rate 80% | AI audience retention is high</t>
  </si>
  <si>
    <t xml:space="preserve">Mod Income Source</t>
  </si>
  <si>
    <t xml:space="preserve">Community MRR (gross)</t>
  </si>
  <si>
    <t xml:space="preserve">Mod pool total (30%)</t>
  </si>
  <si>
    <t xml:space="preserve">Per mod MRR share (÷3)</t>
  </si>
  <si>
    <t xml:space="preserve">+ Retention bonus per mod</t>
  </si>
  <si>
    <t xml:space="preserve">+ Month-3+ retention per mod</t>
  </si>
  <si>
    <t xml:space="preserve">+ Milestones (M4) + Loyalty (M12)</t>
  </si>
  <si>
    <t xml:space="preserve">TOTAL PER MOD / MONTH</t>
  </si>
  <si>
    <t xml:space="preserve">WHEN DOES ED HIT HIS TARGETS?</t>
  </si>
  <si>
    <t xml:space="preserve">Ed hits $300/mo (decent beer money for 1hr/day)</t>
  </si>
  <si>
    <t xml:space="preserve">Month 4 (Apr 2026)</t>
  </si>
  <si>
    <t xml:space="preserve">Ed hits $500/mo (meaningful side income)</t>
  </si>
  <si>
    <t xml:space="preserve">Month 6 (Jun 2026)</t>
  </si>
  <si>
    <t xml:space="preserve">Ed hits $1,000/mo (real money for part-time work)</t>
  </si>
  <si>
    <t xml:space="preserve">Not reached in Year 1 at 20-member cap</t>
  </si>
  <si>
    <t xml:space="preserve">Ed hits $1,500/mo (Ed's target range)</t>
  </si>
  <si>
    <t xml:space="preserve">HONEST NOTE: At a 20-member cap, mod income from community alone peaks at ~$500-600/mo for Ed. That's the ceiling. The cap is intentional - you can't support more clients in your head. Ed needs to understand: the real opportunity is that being a founding mod of a premium AI community builds HIS reputation too. His security consulting business grows because he's associated with your brand. The $500/mo is a bonus, not the main reason to join.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</si>
</sst>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\$#,##0;&quot;($&quot;#,##0\);\-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1E5631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1"/>
      <color rgb="FF1E563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2E8B57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7B2FBE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i val="true"/>
      <sz val="10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1E5631"/>
      </patternFill>
    </fill>
    <fill>
      <patternFill patternType="solid">
        <fgColor rgb="FF404040"/>
        <bgColor rgb="FF444444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BF3FB"/>
      </patternFill>
    </fill>
    <fill>
      <patternFill patternType="solid">
        <fgColor rgb="FFEBF3FB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1E5631"/>
        <bgColor rgb="FF1F4E79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 diagonalUp="false" diagonalDown="false">
      <left/>
      <right/>
      <top style="medium">
        <color rgb="FF2E75B6"/>
      </top>
      <bottom style="medium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2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7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8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4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555555"/>
      <rgbColor rgb="FF9999FF"/>
      <rgbColor rgb="FF7B2FBE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8B57"/>
      <rgbColor rgb="FF1E5631"/>
      <rgbColor rgb="FF444444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8" min="2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3.5" hidden="false" customHeight="true" outlineLevel="0" collapsed="false"/>
    <row r="3" customFormat="false" ht="15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5" customFormat="false" ht="15.75" hidden="false" customHeight="true" outlineLevel="0" collapsed="false">
      <c r="A5" s="3"/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/>
      <c r="P5" s="4" t="s">
        <v>3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customFormat="false" ht="24" hidden="false" customHeight="true" outlineLevel="0" collapsed="false">
      <c r="A6" s="6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  <c r="L6" s="7" t="s">
        <v>15</v>
      </c>
      <c r="M6" s="7" t="s">
        <v>16</v>
      </c>
      <c r="N6" s="8" t="s">
        <v>17</v>
      </c>
      <c r="O6" s="7" t="s">
        <v>5</v>
      </c>
      <c r="P6" s="7" t="s">
        <v>6</v>
      </c>
      <c r="Q6" s="7" t="s">
        <v>7</v>
      </c>
      <c r="R6" s="7" t="s">
        <v>8</v>
      </c>
      <c r="S6" s="7" t="s">
        <v>9</v>
      </c>
      <c r="T6" s="7" t="s">
        <v>10</v>
      </c>
      <c r="U6" s="7" t="s">
        <v>11</v>
      </c>
      <c r="V6" s="7" t="s">
        <v>12</v>
      </c>
      <c r="W6" s="7" t="s">
        <v>13</v>
      </c>
      <c r="X6" s="7" t="s">
        <v>14</v>
      </c>
      <c r="Y6" s="7" t="s">
        <v>15</v>
      </c>
      <c r="Z6" s="7" t="s">
        <v>16</v>
      </c>
      <c r="AA6" s="8" t="s">
        <v>18</v>
      </c>
    </row>
    <row r="7" customFormat="false" ht="15" hidden="false" customHeight="true" outlineLevel="0" collapsed="false">
      <c r="A7" s="9" t="s">
        <v>19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customFormat="false" ht="15" hidden="false" customHeight="true" outlineLevel="0" collapsed="false">
      <c r="A8" s="10" t="s">
        <v>20</v>
      </c>
      <c r="B8" s="11" t="n">
        <v>67</v>
      </c>
      <c r="C8" s="11" t="n">
        <v>133</v>
      </c>
      <c r="D8" s="11" t="n">
        <v>200</v>
      </c>
      <c r="E8" s="11" t="n">
        <v>244</v>
      </c>
      <c r="F8" s="11" t="n">
        <v>289</v>
      </c>
      <c r="G8" s="11" t="n">
        <v>333</v>
      </c>
      <c r="H8" s="11" t="n">
        <v>378</v>
      </c>
      <c r="I8" s="11" t="n">
        <v>422</v>
      </c>
      <c r="J8" s="11" t="n">
        <v>467</v>
      </c>
      <c r="K8" s="11" t="n">
        <v>511</v>
      </c>
      <c r="L8" s="11" t="n">
        <v>556</v>
      </c>
      <c r="M8" s="11" t="n">
        <v>600</v>
      </c>
      <c r="N8" s="12" t="n">
        <f aca="false">SUM(B8,C8,D8,E8,F8,G8,H8,I8,J8,K8,L8,M8)</f>
        <v>4200</v>
      </c>
      <c r="O8" s="11" t="n">
        <v>700</v>
      </c>
      <c r="P8" s="11" t="n">
        <v>800</v>
      </c>
      <c r="Q8" s="11" t="n">
        <v>900</v>
      </c>
      <c r="R8" s="11" t="n">
        <v>1000</v>
      </c>
      <c r="S8" s="11" t="n">
        <v>1100</v>
      </c>
      <c r="T8" s="11" t="n">
        <v>1200</v>
      </c>
      <c r="U8" s="11" t="n">
        <v>1300</v>
      </c>
      <c r="V8" s="11" t="n">
        <v>1400</v>
      </c>
      <c r="W8" s="11" t="n">
        <v>1500</v>
      </c>
      <c r="X8" s="11" t="n">
        <v>1600</v>
      </c>
      <c r="Y8" s="11" t="n">
        <v>1700</v>
      </c>
      <c r="Z8" s="11" t="n">
        <v>1800</v>
      </c>
      <c r="AA8" s="12" t="n">
        <f aca="false">SUM(O8,P8,Q8,R8,S8,T8,U8,V8,W8,X8,Y8,Z8)</f>
        <v>15000</v>
      </c>
    </row>
    <row r="9" customFormat="false" ht="15" hidden="false" customHeight="true" outlineLevel="0" collapsed="false">
      <c r="A9" s="13" t="s">
        <v>21</v>
      </c>
      <c r="B9" s="14" t="n">
        <v>67</v>
      </c>
      <c r="C9" s="14" t="n">
        <v>66</v>
      </c>
      <c r="D9" s="14" t="n">
        <v>67</v>
      </c>
      <c r="E9" s="14" t="n">
        <v>44</v>
      </c>
      <c r="F9" s="14" t="n">
        <v>45</v>
      </c>
      <c r="G9" s="14" t="n">
        <v>44</v>
      </c>
      <c r="H9" s="14" t="n">
        <v>45</v>
      </c>
      <c r="I9" s="14" t="n">
        <v>44</v>
      </c>
      <c r="J9" s="14" t="n">
        <v>45</v>
      </c>
      <c r="K9" s="14" t="n">
        <v>44</v>
      </c>
      <c r="L9" s="14" t="n">
        <v>45</v>
      </c>
      <c r="M9" s="14" t="n">
        <v>44</v>
      </c>
      <c r="N9" s="12" t="n">
        <f aca="false">SUM(B9,C9,D9,E9,F9,G9,H9,I9,J9,K9,L9,M9)</f>
        <v>600</v>
      </c>
      <c r="O9" s="14" t="n">
        <v>100</v>
      </c>
      <c r="P9" s="14" t="n">
        <v>100</v>
      </c>
      <c r="Q9" s="14" t="n">
        <v>100</v>
      </c>
      <c r="R9" s="14" t="n">
        <v>100</v>
      </c>
      <c r="S9" s="14" t="n">
        <v>100</v>
      </c>
      <c r="T9" s="14" t="n">
        <v>100</v>
      </c>
      <c r="U9" s="14" t="n">
        <v>100</v>
      </c>
      <c r="V9" s="14" t="n">
        <v>100</v>
      </c>
      <c r="W9" s="14" t="n">
        <v>100</v>
      </c>
      <c r="X9" s="14" t="n">
        <v>100</v>
      </c>
      <c r="Y9" s="14" t="n">
        <v>100</v>
      </c>
      <c r="Z9" s="14" t="n">
        <v>100</v>
      </c>
      <c r="AA9" s="12" t="n">
        <f aca="false">SUM(O9,P9,Q9,R9,S9,T9,U9,V9,W9,X9,Y9,Z9)</f>
        <v>1200</v>
      </c>
    </row>
    <row r="11" customFormat="false" ht="15" hidden="false" customHeight="true" outlineLevel="0" collapsed="false">
      <c r="A11" s="9" t="s">
        <v>22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customFormat="false" ht="15" hidden="false" customHeight="true" outlineLevel="0" collapsed="false">
      <c r="A12" s="10" t="s">
        <v>23</v>
      </c>
      <c r="B12" s="11" t="n">
        <v>0</v>
      </c>
      <c r="C12" s="11" t="n">
        <v>5</v>
      </c>
      <c r="D12" s="11" t="n">
        <v>9</v>
      </c>
      <c r="E12" s="11" t="n">
        <v>12</v>
      </c>
      <c r="F12" s="11" t="n">
        <v>16</v>
      </c>
      <c r="G12" s="11" t="n">
        <v>20</v>
      </c>
      <c r="H12" s="11" t="n">
        <v>20</v>
      </c>
      <c r="I12" s="11" t="n">
        <v>20</v>
      </c>
      <c r="J12" s="11" t="n">
        <v>20</v>
      </c>
      <c r="K12" s="11" t="n">
        <v>20</v>
      </c>
      <c r="L12" s="11" t="n">
        <v>20</v>
      </c>
      <c r="M12" s="11" t="n">
        <v>20</v>
      </c>
      <c r="N12" s="12" t="n">
        <f aca="false">SUM(B12,C12,D12,E12,F12,G12,H12,I12,J12,K12,L12,M12)</f>
        <v>182</v>
      </c>
      <c r="O12" s="11" t="n">
        <v>20</v>
      </c>
      <c r="P12" s="11" t="n">
        <v>20</v>
      </c>
      <c r="Q12" s="11" t="n">
        <v>20</v>
      </c>
      <c r="R12" s="11" t="n">
        <v>20</v>
      </c>
      <c r="S12" s="11" t="n">
        <v>20</v>
      </c>
      <c r="T12" s="11" t="n">
        <v>20</v>
      </c>
      <c r="U12" s="11" t="n">
        <v>20</v>
      </c>
      <c r="V12" s="11" t="n">
        <v>20</v>
      </c>
      <c r="W12" s="11" t="n">
        <v>20</v>
      </c>
      <c r="X12" s="11" t="n">
        <v>20</v>
      </c>
      <c r="Y12" s="11" t="n">
        <v>20</v>
      </c>
      <c r="Z12" s="11" t="n">
        <v>20</v>
      </c>
      <c r="AA12" s="12" t="n">
        <f aca="false">SUM(O12,P12,Q12,R12,S12,T12,U12,V12,W12,X12,Y12,Z12)</f>
        <v>240</v>
      </c>
    </row>
    <row r="13" customFormat="false" ht="15" hidden="false" customHeight="true" outlineLevel="0" collapsed="false">
      <c r="A13" s="13" t="s">
        <v>24</v>
      </c>
      <c r="B13" s="14" t="n">
        <v>0</v>
      </c>
      <c r="C13" s="14" t="n">
        <v>0</v>
      </c>
      <c r="D13" s="14" t="n">
        <v>4</v>
      </c>
      <c r="E13" s="14" t="n">
        <v>7</v>
      </c>
      <c r="F13" s="14" t="n">
        <v>10</v>
      </c>
      <c r="G13" s="14" t="n">
        <v>13</v>
      </c>
      <c r="H13" s="14" t="n">
        <v>16</v>
      </c>
      <c r="I13" s="14" t="n">
        <v>16</v>
      </c>
      <c r="J13" s="14" t="n">
        <v>16</v>
      </c>
      <c r="K13" s="14" t="n">
        <v>16</v>
      </c>
      <c r="L13" s="14" t="n">
        <v>16</v>
      </c>
      <c r="M13" s="14" t="n">
        <v>16</v>
      </c>
      <c r="N13" s="12" t="n">
        <f aca="false">SUM(B13,C13,D13,E13,F13,G13,H13,I13,J13,K13,L13,M13)</f>
        <v>130</v>
      </c>
      <c r="O13" s="14" t="n">
        <v>16</v>
      </c>
      <c r="P13" s="14" t="n">
        <v>16</v>
      </c>
      <c r="Q13" s="14" t="n">
        <v>16</v>
      </c>
      <c r="R13" s="14" t="n">
        <v>16</v>
      </c>
      <c r="S13" s="14" t="n">
        <v>16</v>
      </c>
      <c r="T13" s="14" t="n">
        <v>16</v>
      </c>
      <c r="U13" s="14" t="n">
        <v>16</v>
      </c>
      <c r="V13" s="14" t="n">
        <v>16</v>
      </c>
      <c r="W13" s="14" t="n">
        <v>16</v>
      </c>
      <c r="X13" s="14" t="n">
        <v>16</v>
      </c>
      <c r="Y13" s="14" t="n">
        <v>16</v>
      </c>
      <c r="Z13" s="14" t="n">
        <v>16</v>
      </c>
      <c r="AA13" s="12" t="n">
        <f aca="false">SUM(O13,P13,Q13,R13,S13,T13,U13,V13,W13,X13,Y13,Z13)</f>
        <v>192</v>
      </c>
    </row>
    <row r="14" customFormat="false" ht="15" hidden="false" customHeight="true" outlineLevel="0" collapsed="false">
      <c r="A14" s="10" t="s">
        <v>25</v>
      </c>
      <c r="B14" s="11" t="n">
        <v>0</v>
      </c>
      <c r="C14" s="11" t="n">
        <v>0</v>
      </c>
      <c r="D14" s="11" t="n">
        <v>4</v>
      </c>
      <c r="E14" s="11" t="n">
        <v>7</v>
      </c>
      <c r="F14" s="11" t="n">
        <v>10</v>
      </c>
      <c r="G14" s="11" t="n">
        <v>12</v>
      </c>
      <c r="H14" s="11" t="n">
        <v>15</v>
      </c>
      <c r="I14" s="11" t="n">
        <v>15</v>
      </c>
      <c r="J14" s="11" t="n">
        <v>15</v>
      </c>
      <c r="K14" s="11" t="n">
        <v>15</v>
      </c>
      <c r="L14" s="11" t="n">
        <v>15</v>
      </c>
      <c r="M14" s="11" t="n">
        <v>15</v>
      </c>
      <c r="N14" s="12" t="n">
        <f aca="false">SUM(B14,C14,D14,E14,F14,G14,H14,I14,J14,K14,L14,M14)</f>
        <v>123</v>
      </c>
      <c r="O14" s="11" t="n">
        <v>15</v>
      </c>
      <c r="P14" s="11" t="n">
        <v>15</v>
      </c>
      <c r="Q14" s="11" t="n">
        <v>15</v>
      </c>
      <c r="R14" s="11" t="n">
        <v>15</v>
      </c>
      <c r="S14" s="11" t="n">
        <v>15</v>
      </c>
      <c r="T14" s="11" t="n">
        <v>15</v>
      </c>
      <c r="U14" s="11" t="n">
        <v>15</v>
      </c>
      <c r="V14" s="11" t="n">
        <v>15</v>
      </c>
      <c r="W14" s="11" t="n">
        <v>15</v>
      </c>
      <c r="X14" s="11" t="n">
        <v>15</v>
      </c>
      <c r="Y14" s="11" t="n">
        <v>15</v>
      </c>
      <c r="Z14" s="11" t="n">
        <v>15</v>
      </c>
      <c r="AA14" s="12" t="n">
        <f aca="false">SUM(O14,P14,Q14,R14,S14,T14,U14,V14,W14,X14,Y14,Z14)</f>
        <v>180</v>
      </c>
    </row>
    <row r="15" customFormat="false" ht="15" hidden="false" customHeight="true" outlineLevel="0" collapsed="false">
      <c r="A15" s="15" t="s">
        <v>26</v>
      </c>
      <c r="B15" s="16" t="n">
        <v>0</v>
      </c>
      <c r="C15" s="16" t="n">
        <v>1250</v>
      </c>
      <c r="D15" s="16" t="n">
        <v>2250</v>
      </c>
      <c r="E15" s="16" t="n">
        <v>3000</v>
      </c>
      <c r="F15" s="16" t="n">
        <v>4000</v>
      </c>
      <c r="G15" s="16" t="n">
        <v>5000</v>
      </c>
      <c r="H15" s="16" t="n">
        <v>5000</v>
      </c>
      <c r="I15" s="16" t="n">
        <v>5000</v>
      </c>
      <c r="J15" s="16" t="n">
        <v>5000</v>
      </c>
      <c r="K15" s="16" t="n">
        <v>5000</v>
      </c>
      <c r="L15" s="16" t="n">
        <v>5000</v>
      </c>
      <c r="M15" s="16" t="n">
        <v>5000</v>
      </c>
      <c r="N15" s="17" t="n">
        <f aca="false">SUM(B15,C15,D15,E15,F15,G15,H15,I15,J15,K15,L15,M15)</f>
        <v>45500</v>
      </c>
      <c r="O15" s="16" t="n">
        <v>5000</v>
      </c>
      <c r="P15" s="16" t="n">
        <v>5000</v>
      </c>
      <c r="Q15" s="16" t="n">
        <v>5000</v>
      </c>
      <c r="R15" s="16" t="n">
        <v>5000</v>
      </c>
      <c r="S15" s="16" t="n">
        <v>5000</v>
      </c>
      <c r="T15" s="16" t="n">
        <v>5000</v>
      </c>
      <c r="U15" s="16" t="n">
        <v>5000</v>
      </c>
      <c r="V15" s="16" t="n">
        <v>5000</v>
      </c>
      <c r="W15" s="16" t="n">
        <v>5000</v>
      </c>
      <c r="X15" s="16" t="n">
        <v>5000</v>
      </c>
      <c r="Y15" s="16" t="n">
        <v>5000</v>
      </c>
      <c r="Z15" s="16" t="n">
        <v>5000</v>
      </c>
      <c r="AA15" s="17" t="n">
        <f aca="false">SUM(O15,P15,Q15,R15,S15,T15,U15,V15,W15,X15,Y15,Z15)</f>
        <v>60000</v>
      </c>
    </row>
    <row r="16" customFormat="false" ht="15" hidden="false" customHeight="true" outlineLevel="0" collapsed="false">
      <c r="A16" s="10" t="s">
        <v>27</v>
      </c>
      <c r="B16" s="18" t="n">
        <v>0</v>
      </c>
      <c r="C16" s="18" t="n">
        <v>375</v>
      </c>
      <c r="D16" s="18" t="n">
        <v>675</v>
      </c>
      <c r="E16" s="18" t="n">
        <v>900</v>
      </c>
      <c r="F16" s="18" t="n">
        <v>1200</v>
      </c>
      <c r="G16" s="18" t="n">
        <v>1500</v>
      </c>
      <c r="H16" s="18" t="n">
        <v>1500</v>
      </c>
      <c r="I16" s="18" t="n">
        <v>1500</v>
      </c>
      <c r="J16" s="18" t="n">
        <v>1500</v>
      </c>
      <c r="K16" s="18" t="n">
        <v>1500</v>
      </c>
      <c r="L16" s="18" t="n">
        <v>1500</v>
      </c>
      <c r="M16" s="18" t="n">
        <v>1500</v>
      </c>
      <c r="N16" s="17" t="n">
        <f aca="false">SUM(B16,C16,D16,E16,F16,G16,H16,I16,J16,K16,L16,M16)</f>
        <v>13650</v>
      </c>
      <c r="O16" s="18" t="n">
        <v>1500</v>
      </c>
      <c r="P16" s="18" t="n">
        <v>1500</v>
      </c>
      <c r="Q16" s="18" t="n">
        <v>1500</v>
      </c>
      <c r="R16" s="18" t="n">
        <v>1500</v>
      </c>
      <c r="S16" s="18" t="n">
        <v>1500</v>
      </c>
      <c r="T16" s="18" t="n">
        <v>1500</v>
      </c>
      <c r="U16" s="18" t="n">
        <v>1500</v>
      </c>
      <c r="V16" s="18" t="n">
        <v>1500</v>
      </c>
      <c r="W16" s="18" t="n">
        <v>1500</v>
      </c>
      <c r="X16" s="18" t="n">
        <v>1500</v>
      </c>
      <c r="Y16" s="18" t="n">
        <v>1500</v>
      </c>
      <c r="Z16" s="18" t="n">
        <v>1500</v>
      </c>
      <c r="AA16" s="17" t="n">
        <f aca="false">SUM(O16,P16,Q16,R16,S16,T16,U16,V16,W16,X16,Y16,Z16)</f>
        <v>18000</v>
      </c>
    </row>
    <row r="17" customFormat="false" ht="15" hidden="false" customHeight="true" outlineLevel="0" collapsed="false">
      <c r="A17" s="13" t="s">
        <v>28</v>
      </c>
      <c r="B17" s="19" t="n">
        <v>0</v>
      </c>
      <c r="C17" s="19" t="n">
        <v>125</v>
      </c>
      <c r="D17" s="19" t="n">
        <v>225</v>
      </c>
      <c r="E17" s="19" t="n">
        <v>300</v>
      </c>
      <c r="F17" s="19" t="n">
        <v>400</v>
      </c>
      <c r="G17" s="19" t="n">
        <v>500</v>
      </c>
      <c r="H17" s="19" t="n">
        <v>500</v>
      </c>
      <c r="I17" s="19" t="n">
        <v>500</v>
      </c>
      <c r="J17" s="19" t="n">
        <v>500</v>
      </c>
      <c r="K17" s="19" t="n">
        <v>500</v>
      </c>
      <c r="L17" s="19" t="n">
        <v>500</v>
      </c>
      <c r="M17" s="19" t="n">
        <v>500</v>
      </c>
      <c r="N17" s="17" t="n">
        <f aca="false">SUM(B17,C17,D17,E17,F17,G17,H17,I17,J17,K17,L17,M17)</f>
        <v>4550</v>
      </c>
      <c r="O17" s="19" t="n">
        <v>500</v>
      </c>
      <c r="P17" s="19" t="n">
        <v>500</v>
      </c>
      <c r="Q17" s="19" t="n">
        <v>500</v>
      </c>
      <c r="R17" s="19" t="n">
        <v>500</v>
      </c>
      <c r="S17" s="19" t="n">
        <v>500</v>
      </c>
      <c r="T17" s="19" t="n">
        <v>500</v>
      </c>
      <c r="U17" s="19" t="n">
        <v>500</v>
      </c>
      <c r="V17" s="19" t="n">
        <v>500</v>
      </c>
      <c r="W17" s="19" t="n">
        <v>500</v>
      </c>
      <c r="X17" s="19" t="n">
        <v>500</v>
      </c>
      <c r="Y17" s="19" t="n">
        <v>500</v>
      </c>
      <c r="Z17" s="19" t="n">
        <v>500</v>
      </c>
      <c r="AA17" s="17" t="n">
        <f aca="false">SUM(O17,P17,Q17,R17,S17,T17,U17,V17,W17,X17,Y17,Z17)</f>
        <v>6000</v>
      </c>
    </row>
    <row r="18" customFormat="false" ht="15" hidden="false" customHeight="true" outlineLevel="0" collapsed="false">
      <c r="A18" s="10" t="s">
        <v>29</v>
      </c>
      <c r="B18" s="18" t="n">
        <v>0</v>
      </c>
      <c r="C18" s="18" t="n">
        <v>0</v>
      </c>
      <c r="D18" s="18" t="n">
        <v>3</v>
      </c>
      <c r="E18" s="18" t="n">
        <v>5</v>
      </c>
      <c r="F18" s="18" t="n">
        <v>7</v>
      </c>
      <c r="G18" s="18" t="n">
        <v>9</v>
      </c>
      <c r="H18" s="18" t="n">
        <v>11</v>
      </c>
      <c r="I18" s="18" t="n">
        <v>11</v>
      </c>
      <c r="J18" s="18" t="n">
        <v>11</v>
      </c>
      <c r="K18" s="18" t="n">
        <v>11</v>
      </c>
      <c r="L18" s="18" t="n">
        <v>11</v>
      </c>
      <c r="M18" s="18" t="n">
        <v>11</v>
      </c>
      <c r="N18" s="17" t="n">
        <f aca="false">SUM(B18,C18,D18,E18,F18,G18,H18,I18,J18,K18,L18,M18)</f>
        <v>90</v>
      </c>
      <c r="O18" s="18" t="n">
        <v>11</v>
      </c>
      <c r="P18" s="18" t="n">
        <v>11</v>
      </c>
      <c r="Q18" s="18" t="n">
        <v>11</v>
      </c>
      <c r="R18" s="18" t="n">
        <v>11</v>
      </c>
      <c r="S18" s="18" t="n">
        <v>11</v>
      </c>
      <c r="T18" s="18" t="n">
        <v>11</v>
      </c>
      <c r="U18" s="18" t="n">
        <v>11</v>
      </c>
      <c r="V18" s="18" t="n">
        <v>11</v>
      </c>
      <c r="W18" s="18" t="n">
        <v>11</v>
      </c>
      <c r="X18" s="18" t="n">
        <v>11</v>
      </c>
      <c r="Y18" s="18" t="n">
        <v>11</v>
      </c>
      <c r="Z18" s="18" t="n">
        <v>11</v>
      </c>
      <c r="AA18" s="17" t="n">
        <f aca="false">SUM(O18,P18,Q18,R18,S18,T18,U18,V18,W18,X18,Y18,Z18)</f>
        <v>132</v>
      </c>
    </row>
    <row r="19" customFormat="false" ht="15" hidden="false" customHeight="true" outlineLevel="0" collapsed="false">
      <c r="A19" s="13" t="s">
        <v>30</v>
      </c>
      <c r="B19" s="19" t="n">
        <v>0</v>
      </c>
      <c r="C19" s="19" t="n">
        <v>0</v>
      </c>
      <c r="D19" s="19" t="n">
        <v>1</v>
      </c>
      <c r="E19" s="19" t="n">
        <v>2</v>
      </c>
      <c r="F19" s="19" t="n">
        <v>3</v>
      </c>
      <c r="G19" s="19" t="n">
        <v>4</v>
      </c>
      <c r="H19" s="19" t="n">
        <v>5</v>
      </c>
      <c r="I19" s="19" t="n">
        <v>5</v>
      </c>
      <c r="J19" s="19" t="n">
        <v>5</v>
      </c>
      <c r="K19" s="19" t="n">
        <v>5</v>
      </c>
      <c r="L19" s="19" t="n">
        <v>5</v>
      </c>
      <c r="M19" s="19" t="n">
        <v>5</v>
      </c>
      <c r="N19" s="17" t="n">
        <f aca="false">SUM(B19,C19,D19,E19,F19,G19,H19,I19,J19,K19,L19,M19)</f>
        <v>40</v>
      </c>
      <c r="O19" s="19" t="n">
        <v>5</v>
      </c>
      <c r="P19" s="19" t="n">
        <v>5</v>
      </c>
      <c r="Q19" s="19" t="n">
        <v>5</v>
      </c>
      <c r="R19" s="19" t="n">
        <v>5</v>
      </c>
      <c r="S19" s="19" t="n">
        <v>5</v>
      </c>
      <c r="T19" s="19" t="n">
        <v>5</v>
      </c>
      <c r="U19" s="19" t="n">
        <v>5</v>
      </c>
      <c r="V19" s="19" t="n">
        <v>5</v>
      </c>
      <c r="W19" s="19" t="n">
        <v>5</v>
      </c>
      <c r="X19" s="19" t="n">
        <v>5</v>
      </c>
      <c r="Y19" s="19" t="n">
        <v>5</v>
      </c>
      <c r="Z19" s="19" t="n">
        <v>5</v>
      </c>
      <c r="AA19" s="17" t="n">
        <f aca="false">SUM(O19,P19,Q19,R19,S19,T19,U19,V19,W19,X19,Y19,Z19)</f>
        <v>60</v>
      </c>
    </row>
    <row r="20" customFormat="false" ht="15" hidden="false" customHeight="true" outlineLevel="0" collapsed="false">
      <c r="A20" s="10" t="s">
        <v>31</v>
      </c>
      <c r="B20" s="18" t="n">
        <v>0</v>
      </c>
      <c r="C20" s="18" t="n">
        <v>0</v>
      </c>
      <c r="D20" s="18" t="n">
        <v>0</v>
      </c>
      <c r="E20" s="18" t="n">
        <v>175</v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  <c r="N20" s="17" t="n">
        <f aca="false">SUM(B20,C20,D20,E20,F20,G20,H20,I20,J20,K20,L20,M20)</f>
        <v>175</v>
      </c>
      <c r="O20" s="18" t="n">
        <v>0</v>
      </c>
      <c r="P20" s="18" t="n">
        <v>0</v>
      </c>
      <c r="Q20" s="18" t="n">
        <v>0</v>
      </c>
      <c r="R20" s="18" t="n">
        <v>0</v>
      </c>
      <c r="S20" s="18" t="n">
        <v>0</v>
      </c>
      <c r="T20" s="18" t="n">
        <v>0</v>
      </c>
      <c r="U20" s="18" t="n">
        <v>0</v>
      </c>
      <c r="V20" s="18" t="n">
        <v>0</v>
      </c>
      <c r="W20" s="18" t="n">
        <v>0</v>
      </c>
      <c r="X20" s="18" t="n">
        <v>0</v>
      </c>
      <c r="Y20" s="18" t="n">
        <v>0</v>
      </c>
      <c r="Z20" s="18" t="n">
        <v>0</v>
      </c>
      <c r="AA20" s="17" t="n">
        <f aca="false">SUM(O20,P20,Q20,R20,S20,T20,U20,V20,W20,X20,Y20,Z20)</f>
        <v>0</v>
      </c>
    </row>
    <row r="22" customFormat="false" ht="19.5" hidden="false" customHeight="true" outlineLevel="0" collapsed="false">
      <c r="A22" s="20" t="s">
        <v>32</v>
      </c>
      <c r="B22" s="21" t="n">
        <f aca="false">B17+B18+B19+B20</f>
        <v>0</v>
      </c>
      <c r="C22" s="21" t="n">
        <f aca="false">C17+C18+C19+C20</f>
        <v>125</v>
      </c>
      <c r="D22" s="21" t="n">
        <f aca="false">D17+D18+D19+D20</f>
        <v>229</v>
      </c>
      <c r="E22" s="21" t="n">
        <f aca="false">E17+E18+E19+E20</f>
        <v>482</v>
      </c>
      <c r="F22" s="21" t="n">
        <f aca="false">F17+F18+F19+F20</f>
        <v>410</v>
      </c>
      <c r="G22" s="21" t="n">
        <f aca="false">G17+G18+G19+G20</f>
        <v>513</v>
      </c>
      <c r="H22" s="21" t="n">
        <f aca="false">H17+H18+H19+H20</f>
        <v>516</v>
      </c>
      <c r="I22" s="21" t="n">
        <f aca="false">I17+I18+I19+I20</f>
        <v>516</v>
      </c>
      <c r="J22" s="21" t="n">
        <f aca="false">J17+J18+J19+J20</f>
        <v>516</v>
      </c>
      <c r="K22" s="21" t="n">
        <f aca="false">K17+K18+K19+K20</f>
        <v>516</v>
      </c>
      <c r="L22" s="21" t="n">
        <f aca="false">L17+L18+L19+L20</f>
        <v>516</v>
      </c>
      <c r="M22" s="21" t="n">
        <f aca="false">M17+M18+M19+M20</f>
        <v>516</v>
      </c>
      <c r="N22" s="21" t="n">
        <f aca="false">N17+N18+N19+N20</f>
        <v>4855</v>
      </c>
      <c r="O22" s="21" t="n">
        <f aca="false">O17+O18+O19+O20</f>
        <v>516</v>
      </c>
      <c r="P22" s="21" t="n">
        <f aca="false">P17+P18+P19+P20</f>
        <v>516</v>
      </c>
      <c r="Q22" s="21" t="n">
        <f aca="false">Q17+Q18+Q19+Q20</f>
        <v>516</v>
      </c>
      <c r="R22" s="21" t="n">
        <f aca="false">R17+R18+R19+R20</f>
        <v>516</v>
      </c>
      <c r="S22" s="21" t="n">
        <f aca="false">S17+S18+S19+S20</f>
        <v>516</v>
      </c>
      <c r="T22" s="21" t="n">
        <f aca="false">T17+T18+T19+T20</f>
        <v>516</v>
      </c>
      <c r="U22" s="21" t="n">
        <f aca="false">U17+U18+U19+U20</f>
        <v>516</v>
      </c>
      <c r="V22" s="21" t="n">
        <f aca="false">V17+V18+V19+V20</f>
        <v>516</v>
      </c>
      <c r="W22" s="21" t="n">
        <f aca="false">W17+W18+W19+W20</f>
        <v>516</v>
      </c>
      <c r="X22" s="21" t="n">
        <f aca="false">X17+X18+X19+X20</f>
        <v>516</v>
      </c>
      <c r="Y22" s="21" t="n">
        <f aca="false">Y17+Y18+Y19+Y20</f>
        <v>516</v>
      </c>
      <c r="Z22" s="21" t="n">
        <f aca="false">Z17+Z18+Z19+Z20</f>
        <v>516</v>
      </c>
      <c r="AA22" s="21" t="n">
        <f aca="false">AA17+AA18+AA19+AA20</f>
        <v>6192</v>
      </c>
    </row>
    <row r="23" customFormat="false" ht="12.75" hidden="false" customHeight="true" outlineLevel="0" collapsed="false">
      <c r="A23" s="22" t="s">
        <v>33</v>
      </c>
      <c r="B23" s="23" t="n">
        <f aca="false">B22*12</f>
        <v>0</v>
      </c>
      <c r="C23" s="23" t="n">
        <f aca="false">C22*12</f>
        <v>1500</v>
      </c>
      <c r="D23" s="23" t="n">
        <f aca="false">D22*12</f>
        <v>2748</v>
      </c>
      <c r="E23" s="23" t="n">
        <f aca="false">E22*12</f>
        <v>5784</v>
      </c>
      <c r="F23" s="23" t="n">
        <f aca="false">F22*12</f>
        <v>4920</v>
      </c>
      <c r="G23" s="23" t="n">
        <f aca="false">G22*12</f>
        <v>6156</v>
      </c>
      <c r="H23" s="23" t="n">
        <f aca="false">H22*12</f>
        <v>6192</v>
      </c>
      <c r="I23" s="23" t="n">
        <f aca="false">I22*12</f>
        <v>6192</v>
      </c>
      <c r="J23" s="23" t="n">
        <f aca="false">J22*12</f>
        <v>6192</v>
      </c>
      <c r="K23" s="23" t="n">
        <f aca="false">K22*12</f>
        <v>6192</v>
      </c>
      <c r="L23" s="23" t="n">
        <f aca="false">L22*12</f>
        <v>6192</v>
      </c>
      <c r="M23" s="23" t="n">
        <f aca="false">M22*12</f>
        <v>6192</v>
      </c>
      <c r="O23" s="23" t="n">
        <f aca="false">O22*12</f>
        <v>6192</v>
      </c>
      <c r="P23" s="23" t="n">
        <f aca="false">P22*12</f>
        <v>6192</v>
      </c>
      <c r="Q23" s="23" t="n">
        <f aca="false">Q22*12</f>
        <v>6192</v>
      </c>
      <c r="R23" s="23" t="n">
        <f aca="false">R22*12</f>
        <v>6192</v>
      </c>
      <c r="S23" s="23" t="n">
        <f aca="false">S22*12</f>
        <v>6192</v>
      </c>
      <c r="T23" s="23" t="n">
        <f aca="false">T22*12</f>
        <v>6192</v>
      </c>
      <c r="U23" s="23" t="n">
        <f aca="false">U22*12</f>
        <v>6192</v>
      </c>
      <c r="V23" s="23" t="n">
        <f aca="false">V22*12</f>
        <v>6192</v>
      </c>
      <c r="W23" s="23" t="n">
        <f aca="false">W22*12</f>
        <v>6192</v>
      </c>
      <c r="X23" s="23" t="n">
        <f aca="false">X22*12</f>
        <v>6192</v>
      </c>
      <c r="Y23" s="23" t="n">
        <f aca="false">Y22*12</f>
        <v>6192</v>
      </c>
      <c r="Z23" s="23" t="n">
        <f aca="false">Z22*12</f>
        <v>6192</v>
      </c>
    </row>
    <row r="25" customFormat="false" ht="15" hidden="false" customHeight="true" outlineLevel="0" collapsed="false">
      <c r="A25" s="24" t="s">
        <v>34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customFormat="false" ht="13.5" hidden="false" customHeight="true" outlineLevel="0" collapsed="false">
      <c r="A26" s="2" t="s">
        <v>35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" hidden="false" customHeight="true" outlineLevel="0" collapsed="false">
      <c r="A27" s="10" t="s">
        <v>36</v>
      </c>
      <c r="B27" s="18" t="n">
        <v>0</v>
      </c>
      <c r="C27" s="18" t="n">
        <v>0</v>
      </c>
      <c r="D27" s="18" t="n">
        <v>0</v>
      </c>
      <c r="E27" s="18" t="n">
        <v>4000</v>
      </c>
      <c r="F27" s="18" t="n">
        <v>4000</v>
      </c>
      <c r="G27" s="18" t="n">
        <v>4000</v>
      </c>
      <c r="H27" s="18" t="n">
        <v>4000</v>
      </c>
      <c r="I27" s="18" t="n">
        <v>4000</v>
      </c>
      <c r="J27" s="18" t="n">
        <v>8000</v>
      </c>
      <c r="K27" s="18" t="n">
        <v>8000</v>
      </c>
      <c r="L27" s="18" t="n">
        <v>8000</v>
      </c>
      <c r="M27" s="18" t="n">
        <v>8000</v>
      </c>
      <c r="N27" s="17" t="n">
        <f aca="false">SUM(B27,C27,D27,E27,F27,G27,H27,I27,J27,K27,L27,M27)</f>
        <v>52000</v>
      </c>
      <c r="O27" s="18" t="n">
        <v>8000</v>
      </c>
      <c r="P27" s="18" t="n">
        <v>8000</v>
      </c>
      <c r="Q27" s="18" t="n">
        <v>8000</v>
      </c>
      <c r="R27" s="18" t="n">
        <v>8000</v>
      </c>
      <c r="S27" s="18" t="n">
        <v>8000</v>
      </c>
      <c r="T27" s="18" t="n">
        <v>8000</v>
      </c>
      <c r="U27" s="18" t="n">
        <v>8000</v>
      </c>
      <c r="V27" s="18" t="n">
        <v>8000</v>
      </c>
      <c r="W27" s="18" t="n">
        <v>8000</v>
      </c>
      <c r="X27" s="18" t="n">
        <v>8000</v>
      </c>
      <c r="Y27" s="18" t="n">
        <v>8000</v>
      </c>
      <c r="Z27" s="18" t="n">
        <v>8000</v>
      </c>
      <c r="AA27" s="17" t="n">
        <f aca="false">SUM(O27,P27,Q27,R27,S27,T27,U27,V27,W27,X27,Y27,Z27)</f>
        <v>96000</v>
      </c>
    </row>
    <row r="28" customFormat="false" ht="15" hidden="false" customHeight="true" outlineLevel="0" collapsed="false">
      <c r="A28" s="25" t="s">
        <v>37</v>
      </c>
      <c r="B28" s="26" t="n">
        <v>0</v>
      </c>
      <c r="C28" s="26" t="n">
        <v>0</v>
      </c>
      <c r="D28" s="26" t="n">
        <v>0</v>
      </c>
      <c r="E28" s="26" t="n">
        <v>1</v>
      </c>
      <c r="F28" s="26" t="n">
        <v>1</v>
      </c>
      <c r="G28" s="26" t="n">
        <v>1</v>
      </c>
      <c r="H28" s="26" t="n">
        <v>1</v>
      </c>
      <c r="I28" s="26" t="n">
        <v>1</v>
      </c>
      <c r="J28" s="26" t="n">
        <v>2</v>
      </c>
      <c r="K28" s="26" t="n">
        <v>2</v>
      </c>
      <c r="L28" s="26" t="n">
        <v>2</v>
      </c>
      <c r="M28" s="26" t="n">
        <v>2</v>
      </c>
      <c r="N28" s="27" t="n">
        <f aca="false">SUM(B28,C28,D28,E28,F28,G28,H28,I28,J28,K28,L28,M28)</f>
        <v>13</v>
      </c>
      <c r="O28" s="26" t="n">
        <v>2</v>
      </c>
      <c r="P28" s="26" t="n">
        <v>2</v>
      </c>
      <c r="Q28" s="26" t="n">
        <v>2</v>
      </c>
      <c r="R28" s="26" t="n">
        <v>2</v>
      </c>
      <c r="S28" s="26" t="n">
        <v>2</v>
      </c>
      <c r="T28" s="26" t="n">
        <v>2</v>
      </c>
      <c r="U28" s="26" t="n">
        <v>2</v>
      </c>
      <c r="V28" s="26" t="n">
        <v>2</v>
      </c>
      <c r="W28" s="26" t="n">
        <v>2</v>
      </c>
      <c r="X28" s="26" t="n">
        <v>2</v>
      </c>
      <c r="Y28" s="26" t="n">
        <v>2</v>
      </c>
      <c r="Z28" s="26" t="n">
        <v>2</v>
      </c>
      <c r="AA28" s="27" t="n">
        <f aca="false">SUM(O28,P28,Q28,R28,S28,T28,U28,V28,W28,X28,Y28,Z28)</f>
        <v>24</v>
      </c>
    </row>
    <row r="29" customFormat="false" ht="15" hidden="false" customHeight="true" outlineLevel="0" collapsed="false">
      <c r="A29" s="13" t="s">
        <v>38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v>0</v>
      </c>
      <c r="G29" s="19" t="n">
        <v>7000</v>
      </c>
      <c r="H29" s="19" t="n">
        <v>7000</v>
      </c>
      <c r="I29" s="19" t="n">
        <v>7000</v>
      </c>
      <c r="J29" s="19" t="n">
        <v>7000</v>
      </c>
      <c r="K29" s="19" t="n">
        <v>7000</v>
      </c>
      <c r="L29" s="19" t="n">
        <v>7000</v>
      </c>
      <c r="M29" s="19" t="n">
        <v>7000</v>
      </c>
      <c r="N29" s="17" t="n">
        <f aca="false">SUM(B29,C29,D29,E29,F29,G29,H29,I29,J29,K29,L29,M29)</f>
        <v>49000</v>
      </c>
      <c r="O29" s="19" t="n">
        <v>7000</v>
      </c>
      <c r="P29" s="19" t="n">
        <v>7000</v>
      </c>
      <c r="Q29" s="19" t="n">
        <v>7000</v>
      </c>
      <c r="R29" s="19" t="n">
        <v>14000</v>
      </c>
      <c r="S29" s="19" t="n">
        <v>14000</v>
      </c>
      <c r="T29" s="19" t="n">
        <v>14000</v>
      </c>
      <c r="U29" s="19" t="n">
        <v>14000</v>
      </c>
      <c r="V29" s="19" t="n">
        <v>14000</v>
      </c>
      <c r="W29" s="19" t="n">
        <v>14000</v>
      </c>
      <c r="X29" s="19" t="n">
        <v>14000</v>
      </c>
      <c r="Y29" s="19" t="n">
        <v>14000</v>
      </c>
      <c r="Z29" s="19" t="n">
        <v>14000</v>
      </c>
      <c r="AA29" s="17" t="n">
        <f aca="false">SUM(O29,P29,Q29,R29,S29,T29,U29,V29,W29,X29,Y29,Z29)</f>
        <v>147000</v>
      </c>
    </row>
    <row r="30" customFormat="false" ht="15" hidden="false" customHeight="true" outlineLevel="0" collapsed="false">
      <c r="A30" s="28" t="s">
        <v>39</v>
      </c>
      <c r="B30" s="29" t="n">
        <v>0</v>
      </c>
      <c r="C30" s="29" t="n">
        <v>0</v>
      </c>
      <c r="D30" s="29" t="n">
        <v>0</v>
      </c>
      <c r="E30" s="29" t="n">
        <v>0</v>
      </c>
      <c r="F30" s="29" t="n">
        <v>0</v>
      </c>
      <c r="G30" s="29" t="n">
        <v>1</v>
      </c>
      <c r="H30" s="29" t="n">
        <v>1</v>
      </c>
      <c r="I30" s="29" t="n">
        <v>1</v>
      </c>
      <c r="J30" s="29" t="n">
        <v>1</v>
      </c>
      <c r="K30" s="29" t="n">
        <v>1</v>
      </c>
      <c r="L30" s="29" t="n">
        <v>1</v>
      </c>
      <c r="M30" s="29" t="n">
        <v>1</v>
      </c>
      <c r="N30" s="27" t="n">
        <f aca="false">SUM(B30,C30,D30,E30,F30,G30,H30,I30,J30,K30,L30,M30)</f>
        <v>7</v>
      </c>
      <c r="O30" s="29" t="n">
        <v>1</v>
      </c>
      <c r="P30" s="29" t="n">
        <v>1</v>
      </c>
      <c r="Q30" s="29" t="n">
        <v>1</v>
      </c>
      <c r="R30" s="29" t="n">
        <v>2</v>
      </c>
      <c r="S30" s="29" t="n">
        <v>2</v>
      </c>
      <c r="T30" s="29" t="n">
        <v>2</v>
      </c>
      <c r="U30" s="29" t="n">
        <v>2</v>
      </c>
      <c r="V30" s="29" t="n">
        <v>2</v>
      </c>
      <c r="W30" s="29" t="n">
        <v>2</v>
      </c>
      <c r="X30" s="29" t="n">
        <v>2</v>
      </c>
      <c r="Y30" s="29" t="n">
        <v>2</v>
      </c>
      <c r="Z30" s="29" t="n">
        <v>2</v>
      </c>
      <c r="AA30" s="27" t="n">
        <f aca="false">SUM(O30,P30,Q30,R30,S30,T30,U30,V30,W30,X30,Y30,Z30)</f>
        <v>21</v>
      </c>
    </row>
    <row r="31" customFormat="false" ht="15" hidden="false" customHeight="true" outlineLevel="0" collapsed="false">
      <c r="A31" s="10" t="s">
        <v>40</v>
      </c>
      <c r="B31" s="18" t="n">
        <v>0</v>
      </c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10000</v>
      </c>
      <c r="M31" s="18" t="n">
        <v>10000</v>
      </c>
      <c r="N31" s="17" t="n">
        <f aca="false">SUM(B31,C31,D31,E31,F31,G31,H31,I31,J31,K31,L31,M31)</f>
        <v>20000</v>
      </c>
      <c r="O31" s="18" t="n">
        <v>10000</v>
      </c>
      <c r="P31" s="18" t="n">
        <v>10000</v>
      </c>
      <c r="Q31" s="18" t="n">
        <v>10000</v>
      </c>
      <c r="R31" s="18" t="n">
        <v>10000</v>
      </c>
      <c r="S31" s="18" t="n">
        <v>10000</v>
      </c>
      <c r="T31" s="18" t="n">
        <v>10000</v>
      </c>
      <c r="U31" s="18" t="n">
        <v>10000</v>
      </c>
      <c r="V31" s="18" t="n">
        <v>20000</v>
      </c>
      <c r="W31" s="18" t="n">
        <v>20000</v>
      </c>
      <c r="X31" s="18" t="n">
        <v>20000</v>
      </c>
      <c r="Y31" s="18" t="n">
        <v>20000</v>
      </c>
      <c r="Z31" s="18" t="n">
        <v>20000</v>
      </c>
      <c r="AA31" s="17" t="n">
        <f aca="false">SUM(O31,P31,Q31,R31,S31,T31,U31,V31,W31,X31,Y31,Z31)</f>
        <v>170000</v>
      </c>
    </row>
    <row r="32" customFormat="false" ht="15" hidden="false" customHeight="true" outlineLevel="0" collapsed="false">
      <c r="A32" s="25" t="s">
        <v>41</v>
      </c>
      <c r="B32" s="26" t="n">
        <v>0</v>
      </c>
      <c r="C32" s="26" t="n">
        <v>0</v>
      </c>
      <c r="D32" s="26" t="n">
        <v>0</v>
      </c>
      <c r="E32" s="26" t="n">
        <v>0</v>
      </c>
      <c r="F32" s="26" t="n">
        <v>0</v>
      </c>
      <c r="G32" s="26" t="n">
        <v>0</v>
      </c>
      <c r="H32" s="26" t="n">
        <v>0</v>
      </c>
      <c r="I32" s="26" t="n">
        <v>0</v>
      </c>
      <c r="J32" s="26" t="n">
        <v>0</v>
      </c>
      <c r="K32" s="26" t="n">
        <v>0</v>
      </c>
      <c r="L32" s="26" t="n">
        <v>1</v>
      </c>
      <c r="M32" s="26" t="n">
        <v>1</v>
      </c>
      <c r="N32" s="27" t="n">
        <f aca="false">SUM(B32,C32,D32,E32,F32,G32,H32,I32,J32,K32,L32,M32)</f>
        <v>2</v>
      </c>
      <c r="O32" s="26" t="n">
        <v>1</v>
      </c>
      <c r="P32" s="26" t="n">
        <v>1</v>
      </c>
      <c r="Q32" s="26" t="n">
        <v>1</v>
      </c>
      <c r="R32" s="26" t="n">
        <v>1</v>
      </c>
      <c r="S32" s="26" t="n">
        <v>1</v>
      </c>
      <c r="T32" s="26" t="n">
        <v>1</v>
      </c>
      <c r="U32" s="26" t="n">
        <v>1</v>
      </c>
      <c r="V32" s="26" t="n">
        <v>2</v>
      </c>
      <c r="W32" s="26" t="n">
        <v>2</v>
      </c>
      <c r="X32" s="26" t="n">
        <v>2</v>
      </c>
      <c r="Y32" s="26" t="n">
        <v>2</v>
      </c>
      <c r="Z32" s="26" t="n">
        <v>2</v>
      </c>
      <c r="AA32" s="27" t="n">
        <f aca="false">SUM(O32,P32,Q32,R32,S32,T32,U32,V32,W32,X32,Y32,Z32)</f>
        <v>17</v>
      </c>
    </row>
    <row r="34" customFormat="false" ht="19.5" hidden="false" customHeight="true" outlineLevel="0" collapsed="false">
      <c r="A34" s="30" t="s">
        <v>42</v>
      </c>
      <c r="B34" s="31" t="n">
        <f aca="false">B27+B29+B31</f>
        <v>0</v>
      </c>
      <c r="C34" s="31" t="n">
        <f aca="false">C27+C29+C31</f>
        <v>0</v>
      </c>
      <c r="D34" s="31" t="n">
        <f aca="false">D27+D29+D31</f>
        <v>0</v>
      </c>
      <c r="E34" s="31" t="n">
        <f aca="false">E27+E29+E31</f>
        <v>4000</v>
      </c>
      <c r="F34" s="31" t="n">
        <f aca="false">F27+F29+F31</f>
        <v>4000</v>
      </c>
      <c r="G34" s="31" t="n">
        <f aca="false">G27+G29+G31</f>
        <v>11000</v>
      </c>
      <c r="H34" s="31" t="n">
        <f aca="false">H27+H29+H31</f>
        <v>11000</v>
      </c>
      <c r="I34" s="31" t="n">
        <f aca="false">I27+I29+I31</f>
        <v>11000</v>
      </c>
      <c r="J34" s="31" t="n">
        <f aca="false">J27+J29+J31</f>
        <v>15000</v>
      </c>
      <c r="K34" s="31" t="n">
        <f aca="false">K27+K29+K31</f>
        <v>15000</v>
      </c>
      <c r="L34" s="31" t="n">
        <f aca="false">L27+L29+L31</f>
        <v>25000</v>
      </c>
      <c r="M34" s="31" t="n">
        <f aca="false">M27+M29+M31</f>
        <v>25000</v>
      </c>
      <c r="N34" s="31" t="n">
        <f aca="false">N27+N29+N31</f>
        <v>121000</v>
      </c>
      <c r="O34" s="31" t="n">
        <f aca="false">O27+O29+O31</f>
        <v>25000</v>
      </c>
      <c r="P34" s="31" t="n">
        <f aca="false">P27+P29+P31</f>
        <v>25000</v>
      </c>
      <c r="Q34" s="31" t="n">
        <f aca="false">Q27+Q29+Q31</f>
        <v>25000</v>
      </c>
      <c r="R34" s="31" t="n">
        <f aca="false">R27+R29+R31</f>
        <v>32000</v>
      </c>
      <c r="S34" s="31" t="n">
        <f aca="false">S27+S29+S31</f>
        <v>32000</v>
      </c>
      <c r="T34" s="31" t="n">
        <f aca="false">T27+T29+T31</f>
        <v>32000</v>
      </c>
      <c r="U34" s="31" t="n">
        <f aca="false">U27+U29+U31</f>
        <v>32000</v>
      </c>
      <c r="V34" s="31" t="n">
        <f aca="false">V27+V29+V31</f>
        <v>42000</v>
      </c>
      <c r="W34" s="31" t="n">
        <f aca="false">W27+W29+W31</f>
        <v>42000</v>
      </c>
      <c r="X34" s="31" t="n">
        <f aca="false">X27+X29+X31</f>
        <v>42000</v>
      </c>
      <c r="Y34" s="31" t="n">
        <f aca="false">Y27+Y29+Y31</f>
        <v>42000</v>
      </c>
      <c r="Z34" s="31" t="n">
        <f aca="false">Z27+Z29+Z31</f>
        <v>42000</v>
      </c>
      <c r="AA34" s="31" t="n">
        <f aca="false">AA27+AA29+AA31</f>
        <v>413000</v>
      </c>
    </row>
    <row r="35" customFormat="false" ht="12.75" hidden="false" customHeight="true" outlineLevel="0" collapsed="false">
      <c r="A35" s="32" t="s">
        <v>43</v>
      </c>
      <c r="B35" s="33" t="n">
        <v>0</v>
      </c>
      <c r="C35" s="33" t="n">
        <v>0</v>
      </c>
      <c r="D35" s="33" t="n">
        <v>0</v>
      </c>
      <c r="E35" s="33" t="n">
        <v>1</v>
      </c>
      <c r="F35" s="33" t="n">
        <v>1</v>
      </c>
      <c r="G35" s="33" t="n">
        <v>2</v>
      </c>
      <c r="H35" s="33" t="n">
        <v>2</v>
      </c>
      <c r="I35" s="33" t="n">
        <v>2</v>
      </c>
      <c r="J35" s="33" t="n">
        <v>3</v>
      </c>
      <c r="K35" s="33" t="n">
        <v>3</v>
      </c>
      <c r="L35" s="33" t="n">
        <v>4</v>
      </c>
      <c r="M35" s="33" t="n">
        <v>4</v>
      </c>
      <c r="O35" s="33" t="n">
        <v>4</v>
      </c>
      <c r="P35" s="33" t="n">
        <v>4</v>
      </c>
      <c r="Q35" s="33" t="n">
        <v>4</v>
      </c>
      <c r="R35" s="33" t="n">
        <v>5</v>
      </c>
      <c r="S35" s="33" t="n">
        <v>5</v>
      </c>
      <c r="T35" s="33" t="n">
        <v>5</v>
      </c>
      <c r="U35" s="33" t="n">
        <v>5</v>
      </c>
      <c r="V35" s="33" t="n">
        <v>6</v>
      </c>
      <c r="W35" s="33" t="n">
        <v>6</v>
      </c>
      <c r="X35" s="33" t="n">
        <v>6</v>
      </c>
      <c r="Y35" s="33" t="n">
        <v>6</v>
      </c>
      <c r="Z35" s="33" t="n">
        <v>6</v>
      </c>
    </row>
    <row r="37" customFormat="false" ht="15" hidden="false" customHeight="true" outlineLevel="0" collapsed="false">
      <c r="A37" s="34" t="s">
        <v>44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customFormat="false" ht="15" hidden="false" customHeight="true" outlineLevel="0" collapsed="false">
      <c r="A38" s="10" t="s">
        <v>45</v>
      </c>
      <c r="B38" s="18" t="n">
        <v>-800</v>
      </c>
      <c r="C38" s="18" t="n">
        <v>13</v>
      </c>
      <c r="D38" s="18" t="n">
        <v>663</v>
      </c>
      <c r="E38" s="18" t="n">
        <v>1150</v>
      </c>
      <c r="F38" s="18" t="n">
        <v>1800</v>
      </c>
      <c r="G38" s="18" t="n">
        <v>2450</v>
      </c>
      <c r="H38" s="18" t="n">
        <v>2450</v>
      </c>
      <c r="I38" s="18" t="n">
        <v>2450</v>
      </c>
      <c r="J38" s="18" t="n">
        <v>2450</v>
      </c>
      <c r="K38" s="18" t="n">
        <v>2450</v>
      </c>
      <c r="L38" s="18" t="n">
        <v>2450</v>
      </c>
      <c r="M38" s="18" t="n">
        <v>2450</v>
      </c>
      <c r="N38" s="17" t="n">
        <f aca="false">SUM(B38,C38,D38,E38,F38,G38,H38,I38,J38,K38,L38,M38)</f>
        <v>19976</v>
      </c>
      <c r="O38" s="18" t="n">
        <v>2450</v>
      </c>
      <c r="P38" s="18" t="n">
        <v>2450</v>
      </c>
      <c r="Q38" s="18" t="n">
        <v>2450</v>
      </c>
      <c r="R38" s="18" t="n">
        <v>2450</v>
      </c>
      <c r="S38" s="18" t="n">
        <v>2450</v>
      </c>
      <c r="T38" s="18" t="n">
        <v>2450</v>
      </c>
      <c r="U38" s="18" t="n">
        <v>2450</v>
      </c>
      <c r="V38" s="18" t="n">
        <v>2450</v>
      </c>
      <c r="W38" s="18" t="n">
        <v>2450</v>
      </c>
      <c r="X38" s="18" t="n">
        <v>2450</v>
      </c>
      <c r="Y38" s="18" t="n">
        <v>2450</v>
      </c>
      <c r="Z38" s="18" t="n">
        <v>2450</v>
      </c>
      <c r="AA38" s="17" t="n">
        <f aca="false">SUM(O38,P38,Q38,R38,S38,T38,U38,V38,W38,X38,Y38,Z38)</f>
        <v>29400</v>
      </c>
    </row>
    <row r="39" customFormat="false" ht="15" hidden="false" customHeight="true" outlineLevel="0" collapsed="false">
      <c r="A39" s="13" t="s">
        <v>46</v>
      </c>
      <c r="B39" s="19" t="n">
        <v>0</v>
      </c>
      <c r="C39" s="19" t="n">
        <v>0</v>
      </c>
      <c r="D39" s="19" t="n">
        <v>0</v>
      </c>
      <c r="E39" s="19" t="n">
        <v>4000</v>
      </c>
      <c r="F39" s="19" t="n">
        <v>4000</v>
      </c>
      <c r="G39" s="19" t="n">
        <v>11000</v>
      </c>
      <c r="H39" s="19" t="n">
        <v>11000</v>
      </c>
      <c r="I39" s="19" t="n">
        <v>11000</v>
      </c>
      <c r="J39" s="19" t="n">
        <v>15000</v>
      </c>
      <c r="K39" s="19" t="n">
        <v>15000</v>
      </c>
      <c r="L39" s="19" t="n">
        <v>25000</v>
      </c>
      <c r="M39" s="19" t="n">
        <v>25000</v>
      </c>
      <c r="N39" s="17" t="n">
        <f aca="false">SUM(B39,C39,D39,E39,F39,G39,H39,I39,J39,K39,L39,M39)</f>
        <v>121000</v>
      </c>
      <c r="O39" s="19" t="n">
        <v>25000</v>
      </c>
      <c r="P39" s="19" t="n">
        <v>25000</v>
      </c>
      <c r="Q39" s="19" t="n">
        <v>25000</v>
      </c>
      <c r="R39" s="19" t="n">
        <v>32000</v>
      </c>
      <c r="S39" s="19" t="n">
        <v>32000</v>
      </c>
      <c r="T39" s="19" t="n">
        <v>32000</v>
      </c>
      <c r="U39" s="19" t="n">
        <v>32000</v>
      </c>
      <c r="V39" s="19" t="n">
        <v>42000</v>
      </c>
      <c r="W39" s="19" t="n">
        <v>42000</v>
      </c>
      <c r="X39" s="19" t="n">
        <v>42000</v>
      </c>
      <c r="Y39" s="19" t="n">
        <v>42000</v>
      </c>
      <c r="Z39" s="19" t="n">
        <v>42000</v>
      </c>
      <c r="AA39" s="17" t="n">
        <f aca="false">SUM(O39,P39,Q39,R39,S39,T39,U39,V39,W39,X39,Y39,Z39)</f>
        <v>413000</v>
      </c>
    </row>
    <row r="41" customFormat="false" ht="19.5" hidden="false" customHeight="true" outlineLevel="0" collapsed="false">
      <c r="A41" s="35" t="s">
        <v>47</v>
      </c>
      <c r="B41" s="36" t="n">
        <f aca="false">B38+B39</f>
        <v>-800</v>
      </c>
      <c r="C41" s="36" t="n">
        <f aca="false">C38+C39</f>
        <v>13</v>
      </c>
      <c r="D41" s="36" t="n">
        <f aca="false">D38+D39</f>
        <v>663</v>
      </c>
      <c r="E41" s="36" t="n">
        <f aca="false">E38+E39</f>
        <v>5150</v>
      </c>
      <c r="F41" s="36" t="n">
        <f aca="false">F38+F39</f>
        <v>5800</v>
      </c>
      <c r="G41" s="36" t="n">
        <f aca="false">G38+G39</f>
        <v>13450</v>
      </c>
      <c r="H41" s="36" t="n">
        <f aca="false">H38+H39</f>
        <v>13450</v>
      </c>
      <c r="I41" s="36" t="n">
        <f aca="false">I38+I39</f>
        <v>13450</v>
      </c>
      <c r="J41" s="36" t="n">
        <f aca="false">J38+J39</f>
        <v>17450</v>
      </c>
      <c r="K41" s="36" t="n">
        <f aca="false">K38+K39</f>
        <v>17450</v>
      </c>
      <c r="L41" s="36" t="n">
        <f aca="false">L38+L39</f>
        <v>27450</v>
      </c>
      <c r="M41" s="36" t="n">
        <f aca="false">M38+M39</f>
        <v>27450</v>
      </c>
      <c r="N41" s="36" t="n">
        <f aca="false">N38+N39</f>
        <v>140976</v>
      </c>
      <c r="O41" s="36" t="n">
        <f aca="false">O38+O39</f>
        <v>27450</v>
      </c>
      <c r="P41" s="36" t="n">
        <f aca="false">P38+P39</f>
        <v>27450</v>
      </c>
      <c r="Q41" s="36" t="n">
        <f aca="false">Q38+Q39</f>
        <v>27450</v>
      </c>
      <c r="R41" s="36" t="n">
        <f aca="false">R38+R39</f>
        <v>34450</v>
      </c>
      <c r="S41" s="36" t="n">
        <f aca="false">S38+S39</f>
        <v>34450</v>
      </c>
      <c r="T41" s="36" t="n">
        <f aca="false">T38+T39</f>
        <v>34450</v>
      </c>
      <c r="U41" s="36" t="n">
        <f aca="false">U38+U39</f>
        <v>34450</v>
      </c>
      <c r="V41" s="36" t="n">
        <f aca="false">V38+V39</f>
        <v>44450</v>
      </c>
      <c r="W41" s="36" t="n">
        <f aca="false">W38+W39</f>
        <v>44450</v>
      </c>
      <c r="X41" s="36" t="n">
        <f aca="false">X38+X39</f>
        <v>44450</v>
      </c>
      <c r="Y41" s="36" t="n">
        <f aca="false">Y38+Y39</f>
        <v>44450</v>
      </c>
      <c r="Z41" s="36" t="n">
        <f aca="false">Z38+Z39</f>
        <v>44450</v>
      </c>
      <c r="AA41" s="36" t="n">
        <f aca="false">AA38+AA39</f>
        <v>442400</v>
      </c>
    </row>
    <row r="42" customFormat="false" ht="12.75" hidden="false" customHeight="true" outlineLevel="0" collapsed="false">
      <c r="A42" s="32" t="s">
        <v>48</v>
      </c>
      <c r="B42" s="37" t="n">
        <f aca="false">B41*12</f>
        <v>-9600</v>
      </c>
      <c r="C42" s="37" t="n">
        <f aca="false">C41*12</f>
        <v>156</v>
      </c>
      <c r="D42" s="37" t="n">
        <f aca="false">D41*12</f>
        <v>7956</v>
      </c>
      <c r="E42" s="37" t="n">
        <f aca="false">E41*12</f>
        <v>61800</v>
      </c>
      <c r="F42" s="37" t="n">
        <f aca="false">F41*12</f>
        <v>69600</v>
      </c>
      <c r="G42" s="37" t="n">
        <f aca="false">G41*12</f>
        <v>161400</v>
      </c>
      <c r="H42" s="37" t="n">
        <f aca="false">H41*12</f>
        <v>161400</v>
      </c>
      <c r="I42" s="37" t="n">
        <f aca="false">I41*12</f>
        <v>161400</v>
      </c>
      <c r="J42" s="37" t="n">
        <f aca="false">J41*12</f>
        <v>209400</v>
      </c>
      <c r="K42" s="37" t="n">
        <f aca="false">K41*12</f>
        <v>209400</v>
      </c>
      <c r="L42" s="37" t="n">
        <f aca="false">L41*12</f>
        <v>329400</v>
      </c>
      <c r="M42" s="37" t="n">
        <f aca="false">M41*12</f>
        <v>329400</v>
      </c>
      <c r="O42" s="37" t="n">
        <f aca="false">O41*12</f>
        <v>329400</v>
      </c>
      <c r="P42" s="37" t="n">
        <f aca="false">P41*12</f>
        <v>329400</v>
      </c>
      <c r="Q42" s="37" t="n">
        <f aca="false">Q41*12</f>
        <v>329400</v>
      </c>
      <c r="R42" s="37" t="n">
        <f aca="false">R41*12</f>
        <v>413400</v>
      </c>
      <c r="S42" s="37" t="n">
        <f aca="false">S41*12</f>
        <v>413400</v>
      </c>
      <c r="T42" s="37" t="n">
        <f aca="false">T41*12</f>
        <v>413400</v>
      </c>
      <c r="U42" s="37" t="n">
        <f aca="false">U41*12</f>
        <v>413400</v>
      </c>
      <c r="V42" s="37" t="n">
        <f aca="false">V41*12</f>
        <v>533400</v>
      </c>
      <c r="W42" s="37" t="n">
        <f aca="false">W41*12</f>
        <v>533400</v>
      </c>
      <c r="X42" s="37" t="n">
        <f aca="false">X41*12</f>
        <v>533400</v>
      </c>
      <c r="Y42" s="37" t="n">
        <f aca="false">Y41*12</f>
        <v>533400</v>
      </c>
      <c r="Z42" s="37" t="n">
        <f aca="false">Z41*12</f>
        <v>533400</v>
      </c>
    </row>
    <row r="44" customFormat="false" ht="15" hidden="false" customHeight="true" outlineLevel="0" collapsed="false">
      <c r="A44" s="38" t="s">
        <v>49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customFormat="false" ht="15.75" hidden="false" customHeight="true" outlineLevel="0" collapsed="false">
      <c r="A45" s="15" t="s">
        <v>50</v>
      </c>
      <c r="B45" s="39" t="s">
        <v>51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customFormat="false" ht="15.75" hidden="false" customHeight="true" outlineLevel="0" collapsed="false">
      <c r="A46" s="15" t="s">
        <v>52</v>
      </c>
      <c r="B46" s="39" t="s">
        <v>53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customFormat="false" ht="15.75" hidden="false" customHeight="true" outlineLevel="0" collapsed="false">
      <c r="A47" s="15" t="s">
        <v>54</v>
      </c>
      <c r="B47" s="40" t="s">
        <v>53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 customFormat="false" ht="15.75" hidden="false" customHeight="true" outlineLevel="0" collapsed="false">
      <c r="A48" s="15" t="s">
        <v>55</v>
      </c>
      <c r="B48" s="41" t="s">
        <v>56</v>
      </c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 customFormat="false" ht="15.75" hidden="false" customHeight="true" outlineLevel="0" collapsed="false">
      <c r="A49" s="15" t="s">
        <v>57</v>
      </c>
      <c r="B49" s="42" t="s">
        <v>58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customFormat="false" ht="15.75" hidden="false" customHeight="true" outlineLevel="0" collapsed="false">
      <c r="A50" s="15" t="s">
        <v>59</v>
      </c>
      <c r="B50" s="42" t="s">
        <v>60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customFormat="false" ht="15.75" hidden="false" customHeight="true" outlineLevel="0" collapsed="false">
      <c r="A51" s="15" t="s">
        <v>61</v>
      </c>
      <c r="B51" s="42" t="s">
        <v>62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customFormat="false" ht="15.75" hidden="false" customHeight="true" outlineLevel="0" collapsed="false">
      <c r="A52" s="15" t="s">
        <v>63</v>
      </c>
      <c r="B52" s="40" t="s">
        <v>60</v>
      </c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 customFormat="false" ht="15.75" hidden="false" customHeight="true" outlineLevel="0" collapsed="false">
      <c r="A53" s="15" t="s">
        <v>64</v>
      </c>
      <c r="B53" s="40" t="s">
        <v>65</v>
      </c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</row>
  </sheetData>
  <mergeCells count="19">
    <mergeCell ref="A1:AA1"/>
    <mergeCell ref="A3:AA3"/>
    <mergeCell ref="B5:N5"/>
    <mergeCell ref="P5:AB5"/>
    <mergeCell ref="A7:AA7"/>
    <mergeCell ref="A11:AA11"/>
    <mergeCell ref="A25:AA25"/>
    <mergeCell ref="A26:AA26"/>
    <mergeCell ref="A37:AA37"/>
    <mergeCell ref="A44:AA44"/>
    <mergeCell ref="B45:AA45"/>
    <mergeCell ref="B46:AA46"/>
    <mergeCell ref="B47:AA47"/>
    <mergeCell ref="B48:AA48"/>
    <mergeCell ref="B49:AA49"/>
    <mergeCell ref="B50:AA50"/>
    <mergeCell ref="B51:AA51"/>
    <mergeCell ref="B52:AA52"/>
    <mergeCell ref="B53:AA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22"/>
  </cols>
  <sheetData>
    <row r="1" customFormat="false" ht="33.75" hidden="false" customHeight="true" outlineLevel="0" collapsed="false">
      <c r="A1" s="43" t="s">
        <v>66</v>
      </c>
      <c r="B1" s="43"/>
      <c r="C1" s="43"/>
      <c r="D1" s="43"/>
      <c r="E1" s="43"/>
      <c r="F1" s="43"/>
    </row>
    <row r="3" customFormat="false" ht="27.75" hidden="false" customHeight="true" outlineLevel="0" collapsed="false">
      <c r="A3" s="44" t="s">
        <v>67</v>
      </c>
      <c r="B3" s="44"/>
      <c r="C3" s="44"/>
      <c r="D3" s="44"/>
      <c r="E3" s="44"/>
      <c r="F3" s="44"/>
    </row>
    <row r="5" customFormat="false" ht="15" hidden="false" customHeight="false" outlineLevel="0" collapsed="false">
      <c r="A5" s="3"/>
      <c r="B5" s="45" t="s">
        <v>68</v>
      </c>
      <c r="C5" s="45" t="s">
        <v>69</v>
      </c>
      <c r="D5" s="45" t="s">
        <v>70</v>
      </c>
      <c r="E5" s="45" t="s">
        <v>71</v>
      </c>
      <c r="F5" s="45" t="s">
        <v>72</v>
      </c>
    </row>
    <row r="6" customFormat="false" ht="19.5" hidden="false" customHeight="true" outlineLevel="0" collapsed="false">
      <c r="A6" s="46" t="s">
        <v>73</v>
      </c>
      <c r="B6" s="47" t="s">
        <v>74</v>
      </c>
      <c r="C6" s="47" t="s">
        <v>75</v>
      </c>
      <c r="D6" s="47" t="s">
        <v>76</v>
      </c>
      <c r="E6" s="47" t="s">
        <v>77</v>
      </c>
      <c r="F6" s="47" t="s">
        <v>78</v>
      </c>
    </row>
    <row r="7" customFormat="false" ht="19.5" hidden="false" customHeight="true" outlineLevel="0" collapsed="false">
      <c r="A7" s="48" t="s">
        <v>79</v>
      </c>
      <c r="B7" s="49" t="s">
        <v>80</v>
      </c>
      <c r="C7" s="49" t="s">
        <v>81</v>
      </c>
      <c r="D7" s="49" t="s">
        <v>82</v>
      </c>
      <c r="E7" s="49"/>
      <c r="F7" s="49"/>
    </row>
    <row r="8" customFormat="false" ht="19.5" hidden="false" customHeight="true" outlineLevel="0" collapsed="false">
      <c r="A8" s="46" t="s">
        <v>83</v>
      </c>
      <c r="B8" s="47" t="s">
        <v>84</v>
      </c>
      <c r="C8" s="47" t="s">
        <v>85</v>
      </c>
      <c r="D8" s="47" t="s">
        <v>86</v>
      </c>
      <c r="E8" s="47"/>
      <c r="F8" s="47"/>
    </row>
    <row r="9" customFormat="false" ht="19.5" hidden="false" customHeight="true" outlineLevel="0" collapsed="false">
      <c r="A9" s="48" t="s">
        <v>87</v>
      </c>
      <c r="B9" s="49" t="s">
        <v>88</v>
      </c>
      <c r="C9" s="49" t="s">
        <v>89</v>
      </c>
      <c r="D9" s="49" t="s">
        <v>90</v>
      </c>
      <c r="E9" s="49"/>
      <c r="F9" s="49"/>
    </row>
    <row r="10" customFormat="false" ht="19.5" hidden="false" customHeight="true" outlineLevel="0" collapsed="false">
      <c r="A10" s="46" t="s">
        <v>91</v>
      </c>
      <c r="B10" s="47" t="s">
        <v>77</v>
      </c>
      <c r="C10" s="47" t="s">
        <v>92</v>
      </c>
      <c r="D10" s="47" t="s">
        <v>92</v>
      </c>
      <c r="E10" s="47" t="s">
        <v>93</v>
      </c>
      <c r="F10" s="47" t="s">
        <v>94</v>
      </c>
    </row>
    <row r="11" customFormat="false" ht="19.5" hidden="false" customHeight="true" outlineLevel="0" collapsed="false">
      <c r="A11" s="48" t="s">
        <v>95</v>
      </c>
      <c r="B11" s="49" t="s">
        <v>77</v>
      </c>
      <c r="C11" s="49" t="s">
        <v>77</v>
      </c>
      <c r="D11" s="49" t="s">
        <v>77</v>
      </c>
      <c r="E11" s="49" t="s">
        <v>96</v>
      </c>
      <c r="F11" s="49" t="s">
        <v>97</v>
      </c>
    </row>
    <row r="12" customFormat="false" ht="19.5" hidden="false" customHeight="true" outlineLevel="0" collapsed="false">
      <c r="A12" s="46" t="s">
        <v>98</v>
      </c>
      <c r="B12" s="47" t="s">
        <v>99</v>
      </c>
      <c r="C12" s="47" t="s">
        <v>100</v>
      </c>
      <c r="D12" s="47" t="s">
        <v>101</v>
      </c>
      <c r="E12" s="47"/>
      <c r="F12" s="47"/>
    </row>
    <row r="13" customFormat="false" ht="19.5" hidden="false" customHeight="true" outlineLevel="0" collapsed="false">
      <c r="A13" s="48" t="s">
        <v>102</v>
      </c>
      <c r="B13" s="49" t="s">
        <v>103</v>
      </c>
      <c r="C13" s="49" t="s">
        <v>104</v>
      </c>
      <c r="D13" s="49" t="s">
        <v>105</v>
      </c>
      <c r="E13" s="49"/>
      <c r="F13" s="49"/>
    </row>
    <row r="16" customFormat="false" ht="15.75" hidden="false" customHeight="true" outlineLevel="0" collapsed="false">
      <c r="A16" s="50" t="s">
        <v>106</v>
      </c>
      <c r="B16" s="50"/>
      <c r="C16" s="50"/>
      <c r="D16" s="50"/>
      <c r="E16" s="50"/>
      <c r="F16" s="50"/>
    </row>
    <row r="17" customFormat="false" ht="18" hidden="false" customHeight="true" outlineLevel="0" collapsed="false">
      <c r="A17" s="51" t="s">
        <v>107</v>
      </c>
      <c r="B17" s="52" t="s">
        <v>108</v>
      </c>
      <c r="C17" s="53" t="s">
        <v>109</v>
      </c>
      <c r="D17" s="53" t="s">
        <v>110</v>
      </c>
    </row>
    <row r="18" customFormat="false" ht="18" hidden="false" customHeight="true" outlineLevel="0" collapsed="false">
      <c r="A18" s="51" t="s">
        <v>111</v>
      </c>
      <c r="B18" s="52" t="s">
        <v>112</v>
      </c>
      <c r="C18" s="53" t="s">
        <v>113</v>
      </c>
      <c r="D18" s="53" t="s">
        <v>114</v>
      </c>
    </row>
    <row r="19" customFormat="false" ht="18" hidden="false" customHeight="true" outlineLevel="0" collapsed="false">
      <c r="A19" s="51" t="s">
        <v>115</v>
      </c>
      <c r="B19" s="52" t="s">
        <v>116</v>
      </c>
      <c r="C19" s="53" t="s">
        <v>117</v>
      </c>
      <c r="D19" s="53" t="s">
        <v>118</v>
      </c>
    </row>
    <row r="20" customFormat="false" ht="18" hidden="false" customHeight="true" outlineLevel="0" collapsed="false">
      <c r="A20" s="51" t="s">
        <v>119</v>
      </c>
      <c r="B20" s="52" t="s">
        <v>120</v>
      </c>
      <c r="C20" s="53" t="s">
        <v>121</v>
      </c>
      <c r="D20" s="53" t="s">
        <v>122</v>
      </c>
    </row>
    <row r="23" customFormat="false" ht="39.75" hidden="false" customHeight="true" outlineLevel="0" collapsed="false">
      <c r="A23" s="54" t="s">
        <v>123</v>
      </c>
      <c r="B23" s="54"/>
      <c r="C23" s="54"/>
      <c r="D23" s="54"/>
      <c r="E23" s="54"/>
      <c r="F23" s="54"/>
    </row>
  </sheetData>
  <mergeCells count="4">
    <mergeCell ref="A1:F1"/>
    <mergeCell ref="A3:F3"/>
    <mergeCell ref="A16:F16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4" min="2" style="0" width="11"/>
  </cols>
  <sheetData>
    <row r="1" customFormat="false" ht="33.75" hidden="false" customHeight="true" outlineLevel="0" collapsed="false">
      <c r="A1" s="55" t="s">
        <v>124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3" customFormat="false" ht="13.5" hidden="false" customHeight="true" outlineLevel="0" collapsed="false">
      <c r="A3" s="2" t="s">
        <v>125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25.5" hidden="false" customHeight="true" outlineLevel="0" collapsed="false">
      <c r="A5" s="6" t="s">
        <v>126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8" t="s">
        <v>17</v>
      </c>
    </row>
    <row r="6" customFormat="false" ht="15" hidden="false" customHeight="true" outlineLevel="0" collapsed="false">
      <c r="A6" s="10" t="s">
        <v>127</v>
      </c>
      <c r="B6" s="18" t="n">
        <v>0</v>
      </c>
      <c r="C6" s="18" t="n">
        <v>1250</v>
      </c>
      <c r="D6" s="18" t="n">
        <v>2250</v>
      </c>
      <c r="E6" s="18" t="n">
        <v>3000</v>
      </c>
      <c r="F6" s="18" t="n">
        <v>4000</v>
      </c>
      <c r="G6" s="18" t="n">
        <v>5000</v>
      </c>
      <c r="H6" s="18" t="n">
        <v>5000</v>
      </c>
      <c r="I6" s="18" t="n">
        <v>5000</v>
      </c>
      <c r="J6" s="18" t="n">
        <v>5000</v>
      </c>
      <c r="K6" s="18" t="n">
        <v>5000</v>
      </c>
      <c r="L6" s="18" t="n">
        <v>5000</v>
      </c>
      <c r="M6" s="18" t="n">
        <v>5000</v>
      </c>
      <c r="N6" s="56" t="n">
        <f aca="false">SUM(B6,C6,D6,E6,F6,G6,H6,I6,J6,K6,L6,M6)</f>
        <v>45500</v>
      </c>
    </row>
    <row r="7" customFormat="false" ht="15" hidden="false" customHeight="true" outlineLevel="0" collapsed="false">
      <c r="A7" s="13" t="s">
        <v>128</v>
      </c>
      <c r="B7" s="19" t="n">
        <v>0</v>
      </c>
      <c r="C7" s="19" t="n">
        <v>375</v>
      </c>
      <c r="D7" s="19" t="n">
        <v>675</v>
      </c>
      <c r="E7" s="19" t="n">
        <v>900</v>
      </c>
      <c r="F7" s="19" t="n">
        <v>1200</v>
      </c>
      <c r="G7" s="19" t="n">
        <v>1500</v>
      </c>
      <c r="H7" s="19" t="n">
        <v>1500</v>
      </c>
      <c r="I7" s="19" t="n">
        <v>1500</v>
      </c>
      <c r="J7" s="19" t="n">
        <v>1500</v>
      </c>
      <c r="K7" s="19" t="n">
        <v>1500</v>
      </c>
      <c r="L7" s="19" t="n">
        <v>1500</v>
      </c>
      <c r="M7" s="19" t="n">
        <v>1500</v>
      </c>
      <c r="N7" s="56" t="n">
        <f aca="false">SUM(B7,C7,D7,E7,F7,G7,H7,I7,J7,K7,L7,M7)</f>
        <v>13650</v>
      </c>
    </row>
    <row r="8" customFormat="false" ht="15" hidden="false" customHeight="true" outlineLevel="0" collapsed="false">
      <c r="A8" s="10" t="s">
        <v>129</v>
      </c>
      <c r="B8" s="18" t="n">
        <v>0</v>
      </c>
      <c r="C8" s="18" t="n">
        <v>125</v>
      </c>
      <c r="D8" s="18" t="n">
        <v>225</v>
      </c>
      <c r="E8" s="18" t="n">
        <v>300</v>
      </c>
      <c r="F8" s="18" t="n">
        <v>400</v>
      </c>
      <c r="G8" s="18" t="n">
        <v>500</v>
      </c>
      <c r="H8" s="18" t="n">
        <v>500</v>
      </c>
      <c r="I8" s="18" t="n">
        <v>500</v>
      </c>
      <c r="J8" s="18" t="n">
        <v>500</v>
      </c>
      <c r="K8" s="18" t="n">
        <v>500</v>
      </c>
      <c r="L8" s="18" t="n">
        <v>500</v>
      </c>
      <c r="M8" s="18" t="n">
        <v>500</v>
      </c>
      <c r="N8" s="56" t="n">
        <f aca="false">SUM(B8,C8,D8,E8,F8,G8,H8,I8,J8,K8,L8,M8)</f>
        <v>4550</v>
      </c>
    </row>
    <row r="9" customFormat="false" ht="15" hidden="false" customHeight="true" outlineLevel="0" collapsed="false">
      <c r="A9" s="13" t="s">
        <v>130</v>
      </c>
      <c r="B9" s="19" t="n">
        <v>0</v>
      </c>
      <c r="C9" s="19" t="n">
        <v>0</v>
      </c>
      <c r="D9" s="19" t="n">
        <v>3</v>
      </c>
      <c r="E9" s="19" t="n">
        <v>5</v>
      </c>
      <c r="F9" s="19" t="n">
        <v>7</v>
      </c>
      <c r="G9" s="19" t="n">
        <v>9</v>
      </c>
      <c r="H9" s="19" t="n">
        <v>11</v>
      </c>
      <c r="I9" s="19" t="n">
        <v>11</v>
      </c>
      <c r="J9" s="19" t="n">
        <v>11</v>
      </c>
      <c r="K9" s="19" t="n">
        <v>11</v>
      </c>
      <c r="L9" s="19" t="n">
        <v>11</v>
      </c>
      <c r="M9" s="19" t="n">
        <v>11</v>
      </c>
      <c r="N9" s="56" t="n">
        <f aca="false">SUM(B9,C9,D9,E9,F9,G9,H9,I9,J9,K9,L9,M9)</f>
        <v>90</v>
      </c>
    </row>
    <row r="10" customFormat="false" ht="15" hidden="false" customHeight="true" outlineLevel="0" collapsed="false">
      <c r="A10" s="10" t="s">
        <v>131</v>
      </c>
      <c r="B10" s="18" t="n">
        <v>0</v>
      </c>
      <c r="C10" s="18" t="n">
        <v>0</v>
      </c>
      <c r="D10" s="18" t="n">
        <v>1</v>
      </c>
      <c r="E10" s="18" t="n">
        <v>2</v>
      </c>
      <c r="F10" s="18" t="n">
        <v>3</v>
      </c>
      <c r="G10" s="18" t="n">
        <v>4</v>
      </c>
      <c r="H10" s="18" t="n">
        <v>5</v>
      </c>
      <c r="I10" s="18" t="n">
        <v>5</v>
      </c>
      <c r="J10" s="18" t="n">
        <v>5</v>
      </c>
      <c r="K10" s="18" t="n">
        <v>5</v>
      </c>
      <c r="L10" s="18" t="n">
        <v>5</v>
      </c>
      <c r="M10" s="18" t="n">
        <v>5</v>
      </c>
      <c r="N10" s="56" t="n">
        <f aca="false">SUM(B10,C10,D10,E10,F10,G10,H10,I10,J10,K10,L10,M10)</f>
        <v>40</v>
      </c>
    </row>
    <row r="11" customFormat="false" ht="15" hidden="false" customHeight="true" outlineLevel="0" collapsed="false">
      <c r="A11" s="13" t="s">
        <v>132</v>
      </c>
      <c r="B11" s="19" t="n">
        <v>0</v>
      </c>
      <c r="C11" s="19" t="n">
        <v>0</v>
      </c>
      <c r="D11" s="19" t="n">
        <v>0</v>
      </c>
      <c r="E11" s="19" t="n">
        <v>175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200</v>
      </c>
      <c r="N11" s="56" t="n">
        <f aca="false">SUM(B11,C11,D11,E11,F11,G11,H11,I11,J11,K11,L11,M11)</f>
        <v>375</v>
      </c>
    </row>
    <row r="13" customFormat="false" ht="19.5" hidden="false" customHeight="true" outlineLevel="0" collapsed="false">
      <c r="A13" s="57" t="s">
        <v>133</v>
      </c>
      <c r="B13" s="58" t="n">
        <v>0</v>
      </c>
      <c r="C13" s="58" t="n">
        <v>125</v>
      </c>
      <c r="D13" s="58" t="n">
        <v>229</v>
      </c>
      <c r="E13" s="58" t="n">
        <v>482</v>
      </c>
      <c r="F13" s="58" t="n">
        <v>410</v>
      </c>
      <c r="G13" s="58" t="n">
        <v>513</v>
      </c>
      <c r="H13" s="58" t="n">
        <v>516</v>
      </c>
      <c r="I13" s="58" t="n">
        <v>516</v>
      </c>
      <c r="J13" s="58" t="n">
        <v>516</v>
      </c>
      <c r="K13" s="58" t="n">
        <v>516</v>
      </c>
      <c r="L13" s="58" t="n">
        <v>516</v>
      </c>
      <c r="M13" s="58" t="n">
        <v>716</v>
      </c>
      <c r="N13" s="59" t="n">
        <f aca="false">SUM(B13,C13,D13,E13,F13,G13,H13,I13,J13,K13,L13,M13)</f>
        <v>5055</v>
      </c>
    </row>
    <row r="15" customFormat="false" ht="15.75" hidden="false" customHeight="true" outlineLevel="0" collapsed="false">
      <c r="A15" s="60" t="s">
        <v>134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</row>
    <row r="16" customFormat="false" ht="15.75" hidden="false" customHeight="true" outlineLevel="0" collapsed="false">
      <c r="A16" s="15" t="s">
        <v>135</v>
      </c>
      <c r="B16" s="39" t="s">
        <v>136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</row>
    <row r="17" customFormat="false" ht="15.75" hidden="false" customHeight="true" outlineLevel="0" collapsed="false">
      <c r="A17" s="15" t="s">
        <v>137</v>
      </c>
      <c r="B17" s="39" t="s">
        <v>138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</row>
    <row r="18" customFormat="false" ht="15.75" hidden="false" customHeight="true" outlineLevel="0" collapsed="false">
      <c r="A18" s="15" t="s">
        <v>139</v>
      </c>
      <c r="B18" s="40" t="s">
        <v>140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</row>
    <row r="19" customFormat="false" ht="15.75" hidden="false" customHeight="true" outlineLevel="0" collapsed="false">
      <c r="A19" s="15" t="s">
        <v>141</v>
      </c>
      <c r="B19" s="41" t="s">
        <v>140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</row>
    <row r="21" customFormat="false" ht="45.75" hidden="false" customHeight="true" outlineLevel="0" collapsed="false">
      <c r="A21" s="61" t="s">
        <v>142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</row>
  </sheetData>
  <mergeCells count="8">
    <mergeCell ref="A1:N1"/>
    <mergeCell ref="A3:N3"/>
    <mergeCell ref="A15:N15"/>
    <mergeCell ref="B16:N16"/>
    <mergeCell ref="B17:N17"/>
    <mergeCell ref="B18:N18"/>
    <mergeCell ref="B19:N19"/>
    <mergeCell ref="A21:N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2026-03-08T03:57:00Z</dcterms:created>
  <dc:creator>openpyxl</dc:creator>
  <dc:description/>
  <dc:language>en-US</dc:language>
  <cp:lastModifiedBy/>
  <dcterms:modified xsi:type="dcterms:W3CDTF">2026-03-08T03:57:00Z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